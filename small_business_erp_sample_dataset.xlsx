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VisionUser\Desktop\SQL\myproject erp business\"/>
    </mc:Choice>
  </mc:AlternateContent>
  <xr:revisionPtr revIDLastSave="0" documentId="13_ncr:1_{D42D3450-F14C-408A-8579-FAD9DB14D33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customers" sheetId="2" r:id="rId2"/>
    <sheet name="suppliers" sheetId="3" r:id="rId3"/>
    <sheet name="products" sheetId="4" r:id="rId4"/>
    <sheet name="sales" sheetId="5" r:id="rId5"/>
    <sheet name="purchases" sheetId="6" r:id="rId6"/>
    <sheet name="expenses" sheetId="7" r:id="rId7"/>
    <sheet name="payments" sheetId="8" r:id="rId8"/>
    <sheet name="calendar" sheetId="9" r:id="rId9"/>
    <sheet name="data_dictionary" sheetId="10" r:id="rId10"/>
    <sheet name="summary" sheetId="11" r:id="rId11"/>
    <sheet name="relationship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B14" i="11"/>
  <c r="B13" i="11"/>
  <c r="B12" i="11"/>
  <c r="B11" i="11"/>
  <c r="B10" i="11"/>
  <c r="B9" i="11"/>
  <c r="B8" i="11"/>
  <c r="B7" i="11"/>
  <c r="B6" i="11"/>
  <c r="B5" i="11"/>
  <c r="B4" i="11"/>
</calcChain>
</file>

<file path=xl/sharedStrings.xml><?xml version="1.0" encoding="utf-8"?>
<sst xmlns="http://schemas.openxmlformats.org/spreadsheetml/2006/main" count="1460" uniqueCount="241">
  <si>
    <t>Small Business ERP Analytics - Sample Dataset</t>
  </si>
  <si>
    <t>Purpose</t>
  </si>
  <si>
    <t>This workbook contains a small synthetic/sample ERP-style dataset created for portfolio practice. It can be used to design a SQL database, import data, create relationships, write business queries and build a Power BI management dashboard.</t>
  </si>
  <si>
    <t>Important Note</t>
  </si>
  <si>
    <t>All data is fictional and generated for educational purposes. It does not represent a real company, real customers, or real financial records.</t>
  </si>
  <si>
    <t>Suggested Project Name</t>
  </si>
  <si>
    <t>Small Business ERP Analytics &amp; Management Reporting</t>
  </si>
  <si>
    <t>Suggested Workflow</t>
  </si>
  <si>
    <t>1. Use each sheet as a source table.</t>
  </si>
  <si>
    <t>2. Create SQL tables for customers, products, suppliers, sales, purchases, expenses, payments and calendar.</t>
  </si>
  <si>
    <t>3. Import the Excel/CSV data into SQL.</t>
  </si>
  <si>
    <t>4. Create primary keys and foreign keys.</t>
  </si>
  <si>
    <t>5. Write business queries for revenue, gross profit, expenses, customer value, supplier/product performance and payments.</t>
  </si>
  <si>
    <t>6. Create SQL views for Power BI.</t>
  </si>
  <si>
    <t>7. Build a Power BI management dashboard.</t>
  </si>
  <si>
    <t>8. Document the project in GitHub.</t>
  </si>
  <si>
    <t>customer_id</t>
  </si>
  <si>
    <t>customer_name</t>
  </si>
  <si>
    <t>city</t>
  </si>
  <si>
    <t>customer_type</t>
  </si>
  <si>
    <t>registration_date</t>
  </si>
  <si>
    <t>Customer 001</t>
  </si>
  <si>
    <t>Volos</t>
  </si>
  <si>
    <t>Corporate</t>
  </si>
  <si>
    <t>Customer 002</t>
  </si>
  <si>
    <t>Kavala</t>
  </si>
  <si>
    <t>Retail</t>
  </si>
  <si>
    <t>Customer 003</t>
  </si>
  <si>
    <t>Heraklion</t>
  </si>
  <si>
    <t>Customer 004</t>
  </si>
  <si>
    <t>Athens</t>
  </si>
  <si>
    <t>Customer 005</t>
  </si>
  <si>
    <t>Customer 006</t>
  </si>
  <si>
    <t>Online</t>
  </si>
  <si>
    <t>Customer 007</t>
  </si>
  <si>
    <t>Wholesale</t>
  </si>
  <si>
    <t>Customer 008</t>
  </si>
  <si>
    <t>Larissa</t>
  </si>
  <si>
    <t>Customer 009</t>
  </si>
  <si>
    <t>Customer 010</t>
  </si>
  <si>
    <t>Customer 011</t>
  </si>
  <si>
    <t>Customer 012</t>
  </si>
  <si>
    <t>Thessaloniki</t>
  </si>
  <si>
    <t>Customer 013</t>
  </si>
  <si>
    <t>Customer 014</t>
  </si>
  <si>
    <t>Customer 015</t>
  </si>
  <si>
    <t>Customer 016</t>
  </si>
  <si>
    <t>Patras</t>
  </si>
  <si>
    <t>Customer 017</t>
  </si>
  <si>
    <t>Customer 018</t>
  </si>
  <si>
    <t>Customer 019</t>
  </si>
  <si>
    <t>Customer 020</t>
  </si>
  <si>
    <t>Customer 021</t>
  </si>
  <si>
    <t>Ioannina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</si>
  <si>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</si>
  <si>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</si>
  <si>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</si>
  <si>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</si>
  <si>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</si>
  <si>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</si>
  <si>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</si>
  <si>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</si>
  <si>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</si>
  <si>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</si>
  <si>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</si>
  <si>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</si>
  <si>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</si>
  <si>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</si>
  <si>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</si>
  <si>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</si>
  <si>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</si>
  <si>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</si>
  <si>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</si>
  <si>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supplier_id</t>
  </si>
  <si>
    <t>supplier_name</t>
  </si>
  <si>
    <t>country</t>
  </si>
  <si>
    <t>payment_terms</t>
  </si>
  <si>
    <t>NorthStar Supplies</t>
  </si>
  <si>
    <t>Poland</t>
  </si>
  <si>
    <t>Net 30</t>
  </si>
  <si>
    <t>Metro Wholesale</t>
  </si>
  <si>
    <t>Greece</t>
  </si>
  <si>
    <t>Net 60</t>
  </si>
  <si>
    <t>EuroTrade Partners</t>
  </si>
  <si>
    <t>Italy</t>
  </si>
  <si>
    <t>Net 45</t>
  </si>
  <si>
    <t>GreenLine Distributors</t>
  </si>
  <si>
    <t>TechNova Imports</t>
  </si>
  <si>
    <t>Athena Packaging</t>
  </si>
  <si>
    <t>Netherlands</t>
  </si>
  <si>
    <t>Prepaid</t>
  </si>
  <si>
    <t>BlueWave Logistics</t>
  </si>
  <si>
    <t>Prime Office Goods</t>
  </si>
  <si>
    <t>product_id</t>
  </si>
  <si>
    <t>product_name</t>
  </si>
  <si>
    <t>product_category</t>
  </si>
  <si>
    <t>unit_cost</t>
  </si>
  <si>
    <t>unit_price</t>
  </si>
  <si>
    <t>Wireless Mouse</t>
  </si>
  <si>
    <t>Electronics</t>
  </si>
  <si>
    <t>Bluetooth Speaker</t>
  </si>
  <si>
    <t>USB-C Hub</t>
  </si>
  <si>
    <t>Power Bank</t>
  </si>
  <si>
    <t>Keyboard</t>
  </si>
  <si>
    <t>Notebook Pack</t>
  </si>
  <si>
    <t>Office Supplies</t>
  </si>
  <si>
    <t>Pen Set</t>
  </si>
  <si>
    <t>Desk Organizer</t>
  </si>
  <si>
    <t>Printer Paper</t>
  </si>
  <si>
    <t>Sticky Notes</t>
  </si>
  <si>
    <t>Ceramic Mug</t>
  </si>
  <si>
    <t>Home Goods</t>
  </si>
  <si>
    <t>Storage Box</t>
  </si>
  <si>
    <t>Desk Lamp</t>
  </si>
  <si>
    <t>Water Bottle</t>
  </si>
  <si>
    <t>Wall Clock</t>
  </si>
  <si>
    <t>Backpack</t>
  </si>
  <si>
    <t>Accessories</t>
  </si>
  <si>
    <t>Travel Wallet</t>
  </si>
  <si>
    <t>Laptop Sleeve</t>
  </si>
  <si>
    <t>Umbrella</t>
  </si>
  <si>
    <t>Keychain Set</t>
  </si>
  <si>
    <t>sale_id</t>
  </si>
  <si>
    <t>sale_date</t>
  </si>
  <si>
    <t>quantity</t>
  </si>
  <si>
    <t>discount_percentage</t>
  </si>
  <si>
    <t>sales_channel</t>
  </si>
  <si>
    <t>Phone</t>
  </si>
  <si>
    <t>Store</t>
  </si>
  <si>
    <t>purchase_id</t>
  </si>
  <si>
    <t>purchase_date</t>
  </si>
  <si>
    <t>quantity_purchased</t>
  </si>
  <si>
    <t>unit_purchase_cost</t>
  </si>
  <si>
    <t>expense_id</t>
  </si>
  <si>
    <t>expense_date</t>
  </si>
  <si>
    <t>expense_category</t>
  </si>
  <si>
    <t>amount</t>
  </si>
  <si>
    <t>Rent</t>
  </si>
  <si>
    <t>Payroll</t>
  </si>
  <si>
    <t>Marketing</t>
  </si>
  <si>
    <t>Utilities</t>
  </si>
  <si>
    <t>Transportation</t>
  </si>
  <si>
    <t>Software</t>
  </si>
  <si>
    <t>Other</t>
  </si>
  <si>
    <t>payment_id</t>
  </si>
  <si>
    <t>payment_date</t>
  </si>
  <si>
    <t>amount_paid</t>
  </si>
  <si>
    <t>payment_method</t>
  </si>
  <si>
    <t>Card</t>
  </si>
  <si>
    <t>PayPal</t>
  </si>
  <si>
    <t>Bank Transfer</t>
  </si>
  <si>
    <t>Cash</t>
  </si>
  <si>
    <t>date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</si>
  <si>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</si>
  <si>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</si>
  <si>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</si>
  <si>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</si>
  <si>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</si>
  <si>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</si>
  <si>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</si>
  <si>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</si>
  <si>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</si>
  <si>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</si>
  <si>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</si>
  <si>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</si>
  <si>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</si>
  <si>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</si>
  <si>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</si>
  <si>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</si>
  <si>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table_name</t>
  </si>
  <si>
    <t>column_name</t>
  </si>
  <si>
    <t>description</t>
  </si>
  <si>
    <t>customers</t>
  </si>
  <si>
    <t>Unique identifier for each customer.</t>
  </si>
  <si>
    <t>Sample customer name.</t>
  </si>
  <si>
    <t>Customer city.</t>
  </si>
  <si>
    <t>Customer segment/type.</t>
  </si>
  <si>
    <t>Date the customer was registered.</t>
  </si>
  <si>
    <t>suppliers</t>
  </si>
  <si>
    <t>Unique identifier for each supplier.</t>
  </si>
  <si>
    <t>Supplier company name.</t>
  </si>
  <si>
    <t>Supplier country.</t>
  </si>
  <si>
    <t>Supplier payment terms.</t>
  </si>
  <si>
    <t>products</t>
  </si>
  <si>
    <t>Unique identifier for each product.</t>
  </si>
  <si>
    <t>Product name.</t>
  </si>
  <si>
    <t>Product category.</t>
  </si>
  <si>
    <t>Estimated product cost per unit.</t>
  </si>
  <si>
    <t>Selling price per unit.</t>
  </si>
  <si>
    <t>Supplier linked to the product.</t>
  </si>
  <si>
    <t>sales</t>
  </si>
  <si>
    <t>Unique identifier for each sales transaction.</t>
  </si>
  <si>
    <t>Date of sale.</t>
  </si>
  <si>
    <t>Customer linked to the sale.</t>
  </si>
  <si>
    <t>Product sold.</t>
  </si>
  <si>
    <t>Units sold.</t>
  </si>
  <si>
    <t>Discount applied to the sale.</t>
  </si>
  <si>
    <t>Sales channel used.</t>
  </si>
  <si>
    <t>purchases</t>
  </si>
  <si>
    <t>Unique purchase transaction identifier.</t>
  </si>
  <si>
    <t>Date of purchase from supplier.</t>
  </si>
  <si>
    <t>Supplier linked to the purchase.</t>
  </si>
  <si>
    <t>Product purchased.</t>
  </si>
  <si>
    <t>Units purchased.</t>
  </si>
  <si>
    <t>Purchase cost per unit.</t>
  </si>
  <si>
    <t>expenses</t>
  </si>
  <si>
    <t>Unique expense identifier.</t>
  </si>
  <si>
    <t>Expense date.</t>
  </si>
  <si>
    <t>Expense type/category.</t>
  </si>
  <si>
    <t>Expense amount.</t>
  </si>
  <si>
    <t>payments</t>
  </si>
  <si>
    <t>Unique payment identifier.</t>
  </si>
  <si>
    <t>Customer linked to the payment.</t>
  </si>
  <si>
    <t>Payment date.</t>
  </si>
  <si>
    <t>Payment amount.</t>
  </si>
  <si>
    <t>Payment method.</t>
  </si>
  <si>
    <t>calendar</t>
  </si>
  <si>
    <t>Calendar date.</t>
  </si>
  <si>
    <t>Calendar year.</t>
  </si>
  <si>
    <t>Calendar month number.</t>
  </si>
  <si>
    <t>Calendar month name.</t>
  </si>
  <si>
    <t>Calendar quarter.</t>
  </si>
  <si>
    <t>Dataset Summary</t>
  </si>
  <si>
    <t>Metric</t>
  </si>
  <si>
    <t>Value</t>
  </si>
  <si>
    <t>Customers</t>
  </si>
  <si>
    <t>Suppliers</t>
  </si>
  <si>
    <t>Products</t>
  </si>
  <si>
    <t>Sales Transactions</t>
  </si>
  <si>
    <t>Purchase Transactions</t>
  </si>
  <si>
    <t>Expense Records</t>
  </si>
  <si>
    <t>Payment Records</t>
  </si>
  <si>
    <t>Calendar Days</t>
  </si>
  <si>
    <t>Sales Period Start</t>
  </si>
  <si>
    <t>Sales Period End</t>
  </si>
  <si>
    <t>Total Sales Units</t>
  </si>
  <si>
    <t>Total Product Categories</t>
  </si>
  <si>
    <t>child_table</t>
  </si>
  <si>
    <t>child_column</t>
  </si>
  <si>
    <t>parent_table</t>
  </si>
  <si>
    <t>parent_column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</si>
</sst>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.0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4" fillId="2" borderId="0" xfId="1" applyFont="1" applyFill="1" applyAlignment="1">
      <alignment horizontal="center" vertical="center"/>
    </xf>
    <xf numFmtId="164" fontId="0" fillId="0" borderId="0" xfId="1" applyNumberFormat="1" applyFont="1"/>
    <xf numFmtId="165" fontId="0" fillId="0" borderId="0" xfId="1" applyNumberFormat="1" applyFont="1"/>
    <xf numFmtId="10" fontId="0" fillId="0" borderId="0" xfId="1" applyNumberFormat="1" applyFont="1"/>
    <xf numFmtId="3" fontId="0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0" borderId="0" xfId="1" applyFont="1" applyAlignment="1">
      <alignment wrapText="1"/>
    </xf>
    <xf numFmtId="0" fontId="3" fillId="4" borderId="0" xfId="1" applyFont="1" applyFill="1" applyAlignment="1">
      <alignment wrapText="1"/>
    </xf>
  </cellXfs>
  <cellStyles count="2">
    <cellStyle name="Normal" xfId="1" xr:uid="{00000000-0005-0000-0000-000000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A1:E41">
  <tableColumns count="5">
    <tableColumn id="1" xr3:uid="{00000000-0010-0000-0000-000001000000}" name="customer_id"/>
    <tableColumn id="2" xr3:uid="{00000000-0010-0000-0000-000002000000}" name="customer_name"/>
    <tableColumn id="3" xr3:uid="{00000000-0010-0000-0000-000003000000}" name="city"/>
    <tableColumn id="4" xr3:uid="{00000000-0010-0000-0000-000004000000}" name="customer_type"/>
    <tableColumn id="5" xr3:uid="{00000000-0010-0000-0000-000005000000}" name="registratio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iersTable" displayName="SuppliersTable" ref="A1:D9">
  <tableColumns count="4">
    <tableColumn id="1" xr3:uid="{00000000-0010-0000-0100-000001000000}" name="supplier_id"/>
    <tableColumn id="2" xr3:uid="{00000000-0010-0000-0100-000002000000}" name="supplier_name"/>
    <tableColumn id="3" xr3:uid="{00000000-0010-0000-0100-000003000000}" name="country"/>
    <tableColumn id="4" xr3:uid="{00000000-0010-0000-0100-000004000000}" name="payment_ter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able" displayName="ProductsTable" ref="A1:F21">
  <tableColumns count="6">
    <tableColumn id="1" xr3:uid="{00000000-0010-0000-0200-000001000000}" name="product_id"/>
    <tableColumn id="2" xr3:uid="{00000000-0010-0000-0200-000002000000}" name="product_name"/>
    <tableColumn id="3" xr3:uid="{00000000-0010-0000-0200-000003000000}" name="product_category"/>
    <tableColumn id="4" xr3:uid="{00000000-0010-0000-0200-000004000000}" name="unit_cost"/>
    <tableColumn id="5" xr3:uid="{00000000-0010-0000-0200-000005000000}" name="unit_price"/>
    <tableColumn id="6" xr3:uid="{00000000-0010-0000-0200-000006000000}" name="suppli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sTable" displayName="SalesTable" ref="A1:G351">
  <tableColumns count="7">
    <tableColumn id="1" xr3:uid="{00000000-0010-0000-0300-000001000000}" name="sale_id"/>
    <tableColumn id="2" xr3:uid="{00000000-0010-0000-0300-000002000000}" name="sale_date"/>
    <tableColumn id="3" xr3:uid="{00000000-0010-0000-0300-000003000000}" name="customer_id"/>
    <tableColumn id="4" xr3:uid="{00000000-0010-0000-0300-000004000000}" name="product_id"/>
    <tableColumn id="5" xr3:uid="{00000000-0010-0000-0300-000005000000}" name="quantity"/>
    <tableColumn id="6" xr3:uid="{00000000-0010-0000-0300-000006000000}" name="discount_percentage"/>
    <tableColumn id="7" xr3:uid="{00000000-0010-0000-0300-000007000000}" name="sales_chann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urchasesTable" displayName="PurchasesTable" ref="A1:F111">
  <tableColumns count="6">
    <tableColumn id="1" xr3:uid="{00000000-0010-0000-0400-000001000000}" name="purchase_id"/>
    <tableColumn id="2" xr3:uid="{00000000-0010-0000-0400-000002000000}" name="purchase_date"/>
    <tableColumn id="3" xr3:uid="{00000000-0010-0000-0400-000003000000}" name="supplier_id"/>
    <tableColumn id="4" xr3:uid="{00000000-0010-0000-0400-000004000000}" name="product_id"/>
    <tableColumn id="5" xr3:uid="{00000000-0010-0000-0400-000005000000}" name="quantity_purchased"/>
    <tableColumn id="6" xr3:uid="{00000000-0010-0000-0400-000006000000}" name="unit_purchase_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ensesTable" displayName="ExpensesTable" ref="A1:D85">
  <tableColumns count="4">
    <tableColumn id="1" xr3:uid="{00000000-0010-0000-0500-000001000000}" name="expense_id"/>
    <tableColumn id="2" xr3:uid="{00000000-0010-0000-0500-000002000000}" name="expense_date"/>
    <tableColumn id="3" xr3:uid="{00000000-0010-0000-0500-000003000000}" name="expense_category"/>
    <tableColumn id="4" xr3:uid="{00000000-0010-0000-0500-000004000000}" name="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mentsTable" displayName="PaymentsTable" ref="A1:E231">
  <tableColumns count="5">
    <tableColumn id="1" xr3:uid="{00000000-0010-0000-0600-000001000000}" name="payment_id"/>
    <tableColumn id="2" xr3:uid="{00000000-0010-0000-0600-000002000000}" name="customer_id"/>
    <tableColumn id="3" xr3:uid="{00000000-0010-0000-0600-000003000000}" name="payment_date"/>
    <tableColumn id="4" xr3:uid="{00000000-0010-0000-0600-000004000000}" name="amount_paid"/>
    <tableColumn id="5" xr3:uid="{00000000-0010-0000-0600-000005000000}" name="payment_metho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lendarTable" displayName="CalendarTable" ref="A1:E367">
  <tableColumns count="5">
    <tableColumn id="1" xr3:uid="{00000000-0010-0000-0700-000001000000}" name="date"/>
    <tableColumn id="2" xr3:uid="{00000000-0010-0000-0700-000002000000}" name="year"/>
    <tableColumn id="3" xr3:uid="{00000000-0010-0000-0700-000003000000}" name="month"/>
    <tableColumn id="4" xr3:uid="{00000000-0010-0000-0700-000004000000}" name="month_name"/>
    <tableColumn id="5" xr3:uid="{00000000-0010-0000-0700-000005000000}" name="quart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DictionaryTable" displayName="DataDictionaryTable" ref="A1:C43">
  <tableColumns count="3">
    <tableColumn id="1" xr3:uid="{00000000-0010-0000-0800-000001000000}" name="table_name"/>
    <tableColumn id="2" xr3:uid="{00000000-0010-0000-0800-000002000000}" name="column_name"/>
    <tableColumn id="3" xr3:uid="{00000000-0010-0000-0800-000003000000}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lationshipsTable" displayName="RelationshipsTable" ref="A1:D11">
  <tableColumns count="4">
    <tableColumn id="1" xr3:uid="{00000000-0010-0000-0900-000001000000}" name="child_table"/>
    <tableColumn id="2" xr3:uid="{00000000-0010-0000-0900-000002000000}" name="child_column"/>
    <tableColumn id="3" xr3:uid="{00000000-0010-0000-0900-000003000000}" name="parent_table"/>
    <tableColumn id="4" xr3:uid="{00000000-0010-0000-0900-000004000000}" name="parent_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sqref="A1:H1"/>
    </sheetView>
  </sheetViews>
  <sheetFormatPr defaultRowHeight="14.25"/>
  <cols>
    <col min="1" max="8" width="18" customWidth="1"/>
  </cols>
  <sheetData>
    <row r="1" spans="1:8" ht="18">
      <c r="A1" s="8" t="s">
        <v>0</v>
      </c>
      <c r="B1" s="9"/>
      <c r="C1" s="9"/>
      <c r="D1" s="9"/>
      <c r="E1" s="9"/>
      <c r="F1" s="9"/>
      <c r="G1" s="9"/>
      <c r="H1" s="9"/>
    </row>
    <row r="3" spans="1:8" ht="15">
      <c r="A3" s="1" t="s">
        <v>1</v>
      </c>
    </row>
    <row r="4" spans="1:8" ht="36" customHeight="1">
      <c r="A4" s="10" t="s">
        <v>2</v>
      </c>
      <c r="B4" s="9"/>
      <c r="C4" s="9"/>
      <c r="D4" s="9"/>
      <c r="E4" s="9"/>
      <c r="F4" s="9"/>
      <c r="G4" s="9"/>
      <c r="H4" s="9"/>
    </row>
    <row r="5" spans="1:8" ht="36" customHeight="1">
      <c r="A5" s="9"/>
      <c r="B5" s="9"/>
      <c r="C5" s="9"/>
      <c r="D5" s="9"/>
      <c r="E5" s="9"/>
      <c r="F5" s="9"/>
      <c r="G5" s="9"/>
      <c r="H5" s="9"/>
    </row>
    <row r="7" spans="1:8" ht="15">
      <c r="A7" s="1" t="s">
        <v>3</v>
      </c>
    </row>
    <row r="8" spans="1:8" ht="36" customHeight="1">
      <c r="A8" s="11" t="s">
        <v>4</v>
      </c>
      <c r="B8" s="9"/>
      <c r="C8" s="9"/>
      <c r="D8" s="9"/>
      <c r="E8" s="9"/>
      <c r="F8" s="9"/>
      <c r="G8" s="9"/>
      <c r="H8" s="9"/>
    </row>
    <row r="9" spans="1:8" ht="36" customHeight="1">
      <c r="A9" s="9"/>
      <c r="B9" s="9"/>
      <c r="C9" s="9"/>
      <c r="D9" s="9"/>
      <c r="E9" s="9"/>
      <c r="F9" s="9"/>
      <c r="G9" s="9"/>
      <c r="H9" s="9"/>
    </row>
    <row r="11" spans="1:8" ht="15">
      <c r="A11" s="1" t="s">
        <v>5</v>
      </c>
    </row>
    <row r="12" spans="1:8">
      <c r="A12" t="s">
        <v>6</v>
      </c>
    </row>
    <row r="14" spans="1:8" ht="15">
      <c r="A14" s="1" t="s">
        <v>7</v>
      </c>
    </row>
    <row r="15" spans="1:8" ht="28.5">
      <c r="A15" s="2" t="s">
        <v>8</v>
      </c>
    </row>
    <row r="16" spans="1:8" ht="99.75">
      <c r="A16" s="2" t="s">
        <v>9</v>
      </c>
    </row>
    <row r="17" spans="1:1" ht="42.75">
      <c r="A17" s="2" t="s">
        <v>10</v>
      </c>
    </row>
    <row r="18" spans="1:1" ht="42.75">
      <c r="A18" s="2" t="s">
        <v>11</v>
      </c>
    </row>
    <row r="19" spans="1:1" ht="114">
      <c r="A19" s="2" t="s">
        <v>12</v>
      </c>
    </row>
    <row r="20" spans="1:1" ht="28.5">
      <c r="A20" s="2" t="s">
        <v>13</v>
      </c>
    </row>
    <row r="21" spans="1:1" ht="42.75">
      <c r="A21" s="2" t="s">
        <v>14</v>
      </c>
    </row>
    <row r="22" spans="1:1" ht="28.5">
      <c r="A22" s="2" t="s">
        <v>15</v>
      </c>
    </row>
  </sheetData>
  <mergeCells count="3">
    <mergeCell ref="A1:H1"/>
    <mergeCell ref="A4:H5"/>
    <mergeCell ref="A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E14" sqref="E14"/>
    </sheetView>
  </sheetViews>
  <sheetFormatPr defaultRowHeight="14.25"/>
  <cols>
    <col min="1" max="1" width="12" customWidth="1"/>
    <col min="2" max="2" width="18" customWidth="1"/>
    <col min="3" max="5" width="16" customWidth="1"/>
  </cols>
  <sheetData>
    <row r="1" spans="1:5" ht="1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>
      <c r="A2">
        <v>1</v>
      </c>
      <c r="B2" t="s">
        <v>21</v>
      </c>
      <c r="C2" t="s">
        <v>22</v>
      </c>
      <c r="D2" t="s">
        <v>23</v>
      </c>
      <c r="E2" s="4">
        <v>44950</v>
      </c>
    </row>
    <row r="3" spans="1:5">
      <c r="A3">
        <v>2</v>
      </c>
      <c r="B3" t="s">
        <v>24</v>
      </c>
      <c r="C3" t="s">
        <v>25</v>
      </c>
      <c r="D3" t="s">
        <v>26</v>
      </c>
      <c r="E3" s="4">
        <v>45110</v>
      </c>
    </row>
    <row r="4" spans="1:5">
      <c r="A4">
        <v>3</v>
      </c>
      <c r="B4" t="s">
        <v>27</v>
      </c>
      <c r="C4" t="s">
        <v>28</v>
      </c>
      <c r="D4" t="s">
        <v>23</v>
      </c>
      <c r="E4" s="4">
        <v>45206</v>
      </c>
    </row>
    <row r="5" spans="1:5">
      <c r="A5">
        <v>4</v>
      </c>
      <c r="B5" t="s">
        <v>29</v>
      </c>
      <c r="C5" t="s">
        <v>30</v>
      </c>
      <c r="D5" t="s">
        <v>26</v>
      </c>
      <c r="E5" s="4">
        <v>45238</v>
      </c>
    </row>
    <row r="6" spans="1:5">
      <c r="A6">
        <v>5</v>
      </c>
      <c r="B6" t="s">
        <v>31</v>
      </c>
      <c r="C6" t="s">
        <v>28</v>
      </c>
      <c r="D6" t="s">
        <v>26</v>
      </c>
      <c r="E6" s="4">
        <v>45044</v>
      </c>
    </row>
    <row r="7" spans="1:5">
      <c r="A7">
        <v>6</v>
      </c>
      <c r="B7" t="s">
        <v>32</v>
      </c>
      <c r="C7" t="s">
        <v>30</v>
      </c>
      <c r="D7" t="s">
        <v>33</v>
      </c>
      <c r="E7" s="4">
        <v>45061</v>
      </c>
    </row>
    <row r="8" spans="1:5">
      <c r="A8">
        <v>7</v>
      </c>
      <c r="B8" t="s">
        <v>34</v>
      </c>
      <c r="C8" t="s">
        <v>22</v>
      </c>
      <c r="D8" t="s">
        <v>35</v>
      </c>
      <c r="E8" s="4">
        <v>45089</v>
      </c>
    </row>
    <row r="9" spans="1:5">
      <c r="A9">
        <v>8</v>
      </c>
      <c r="B9" t="s">
        <v>36</v>
      </c>
      <c r="C9" t="s">
        <v>37</v>
      </c>
      <c r="D9" t="s">
        <v>23</v>
      </c>
      <c r="E9" s="4">
        <v>45282</v>
      </c>
    </row>
    <row r="10" spans="1:5">
      <c r="A10">
        <v>9</v>
      </c>
      <c r="B10" t="s">
        <v>38</v>
      </c>
      <c r="C10" t="s">
        <v>30</v>
      </c>
      <c r="D10" t="s">
        <v>35</v>
      </c>
      <c r="E10" s="4">
        <v>45193</v>
      </c>
    </row>
    <row r="11" spans="1:5">
      <c r="A11">
        <v>10</v>
      </c>
      <c r="B11" t="s">
        <v>39</v>
      </c>
      <c r="C11" t="s">
        <v>37</v>
      </c>
      <c r="D11" t="s">
        <v>35</v>
      </c>
      <c r="E11" s="4">
        <v>45151</v>
      </c>
    </row>
    <row r="12" spans="1:5">
      <c r="A12">
        <v>11</v>
      </c>
      <c r="B12" t="s">
        <v>40</v>
      </c>
      <c r="C12" t="s">
        <v>28</v>
      </c>
      <c r="D12" t="s">
        <v>35</v>
      </c>
      <c r="E12" s="4">
        <v>45241</v>
      </c>
    </row>
    <row r="13" spans="1:5">
      <c r="A13">
        <v>12</v>
      </c>
      <c r="B13" t="s">
        <v>41</v>
      </c>
      <c r="C13" t="s">
        <v>42</v>
      </c>
      <c r="D13" t="s">
        <v>35</v>
      </c>
      <c r="E13" s="4">
        <v>44952</v>
      </c>
    </row>
    <row r="14" spans="1:5">
      <c r="A14">
        <v>13</v>
      </c>
      <c r="B14" t="s">
        <v>43</v>
      </c>
      <c r="C14" t="s">
        <v>22</v>
      </c>
      <c r="D14" t="s">
        <v>33</v>
      </c>
      <c r="E14" s="4">
        <v>45049</v>
      </c>
    </row>
    <row r="15" spans="1:5">
      <c r="A15">
        <v>14</v>
      </c>
      <c r="B15" t="s">
        <v>44</v>
      </c>
      <c r="C15" t="s">
        <v>37</v>
      </c>
      <c r="D15" t="s">
        <v>23</v>
      </c>
      <c r="E15" s="4">
        <v>45037</v>
      </c>
    </row>
    <row r="16" spans="1:5">
      <c r="A16">
        <v>15</v>
      </c>
      <c r="B16" t="s">
        <v>45</v>
      </c>
      <c r="C16" t="s">
        <v>25</v>
      </c>
      <c r="D16" t="s">
        <v>33</v>
      </c>
      <c r="E16" s="4">
        <v>45245</v>
      </c>
    </row>
    <row r="17" spans="1:5">
      <c r="A17">
        <v>16</v>
      </c>
      <c r="B17" t="s">
        <v>46</v>
      </c>
      <c r="C17" t="s">
        <v>47</v>
      </c>
      <c r="D17" t="s">
        <v>23</v>
      </c>
      <c r="E17" s="4">
        <v>44993</v>
      </c>
    </row>
    <row r="18" spans="1:5">
      <c r="A18">
        <v>17</v>
      </c>
      <c r="B18" t="s">
        <v>48</v>
      </c>
      <c r="C18" t="s">
        <v>28</v>
      </c>
      <c r="D18" t="s">
        <v>33</v>
      </c>
      <c r="E18" s="4">
        <v>45212</v>
      </c>
    </row>
    <row r="19" spans="1:5">
      <c r="A19">
        <v>18</v>
      </c>
      <c r="B19" t="s">
        <v>49</v>
      </c>
      <c r="C19" t="s">
        <v>22</v>
      </c>
      <c r="D19" t="s">
        <v>35</v>
      </c>
      <c r="E19" s="4">
        <v>45002</v>
      </c>
    </row>
    <row r="20" spans="1:5">
      <c r="A20">
        <v>19</v>
      </c>
      <c r="B20" t="s">
        <v>50</v>
      </c>
      <c r="C20" t="s">
        <v>25</v>
      </c>
      <c r="D20" t="s">
        <v>26</v>
      </c>
      <c r="E20" s="4">
        <v>44954</v>
      </c>
    </row>
    <row r="21" spans="1:5">
      <c r="A21">
        <v>20</v>
      </c>
      <c r="B21" t="s">
        <v>51</v>
      </c>
      <c r="C21" t="s">
        <v>30</v>
      </c>
      <c r="D21" t="s">
        <v>35</v>
      </c>
      <c r="E21" s="4">
        <v>45236</v>
      </c>
    </row>
    <row r="22" spans="1:5">
      <c r="A22">
        <v>21</v>
      </c>
      <c r="B22" t="s">
        <v>52</v>
      </c>
      <c r="C22" t="s">
        <v>53</v>
      </c>
      <c r="D22" t="s">
        <v>26</v>
      </c>
      <c r="E22" s="4">
        <v>45120</v>
      </c>
    </row>
    <row r="23" spans="1:5">
      <c r="A23">
        <v>22</v>
      </c>
      <c r="B23" t="s">
        <v>54</v>
      </c>
      <c r="C23" t="s">
        <v>25</v>
      </c>
      <c r="D23" t="s">
        <v>23</v>
      </c>
      <c r="E23" s="4">
        <v>45197</v>
      </c>
    </row>
    <row r="24" spans="1:5">
      <c r="A24">
        <v>23</v>
      </c>
      <c r="B24" t="s">
        <v>55</v>
      </c>
      <c r="C24" t="s">
        <v>42</v>
      </c>
      <c r="D24" t="s">
        <v>26</v>
      </c>
      <c r="E24" s="4">
        <v>45248</v>
      </c>
    </row>
    <row r="25" spans="1:5">
      <c r="A25">
        <v>24</v>
      </c>
      <c r="B25" t="s">
        <v>56</v>
      </c>
      <c r="C25" t="s">
        <v>28</v>
      </c>
      <c r="D25" t="s">
        <v>23</v>
      </c>
      <c r="E25" s="4">
        <v>44967</v>
      </c>
    </row>
    <row r="26" spans="1:5">
      <c r="A26">
        <v>25</v>
      </c>
      <c r="B26" t="s">
        <v>57</v>
      </c>
      <c r="C26" t="s">
        <v>53</v>
      </c>
      <c r="D26" t="s">
        <v>35</v>
      </c>
      <c r="E26" s="4">
        <v>45139</v>
      </c>
    </row>
    <row r="27" spans="1:5">
      <c r="A27">
        <v>26</v>
      </c>
      <c r="B27" t="s">
        <v>58</v>
      </c>
      <c r="C27" t="s">
        <v>28</v>
      </c>
      <c r="D27" t="s">
        <v>35</v>
      </c>
      <c r="E27" s="4">
        <v>45173</v>
      </c>
    </row>
    <row r="28" spans="1:5">
      <c r="A28">
        <v>27</v>
      </c>
      <c r="B28" t="s">
        <v>59</v>
      </c>
      <c r="C28" t="s">
        <v>28</v>
      </c>
      <c r="D28" t="s">
        <v>35</v>
      </c>
      <c r="E28" s="4">
        <v>44997</v>
      </c>
    </row>
    <row r="29" spans="1:5">
      <c r="A29">
        <v>28</v>
      </c>
      <c r="B29" t="s">
        <v>60</v>
      </c>
      <c r="C29" t="s">
        <v>47</v>
      </c>
      <c r="D29" t="s">
        <v>26</v>
      </c>
      <c r="E29" s="4">
        <v>45210</v>
      </c>
    </row>
    <row r="30" spans="1:5">
      <c r="A30">
        <v>29</v>
      </c>
      <c r="B30" t="s">
        <v>61</v>
      </c>
      <c r="C30" t="s">
        <v>25</v>
      </c>
      <c r="D30" t="s">
        <v>26</v>
      </c>
      <c r="E30" s="4">
        <v>44969</v>
      </c>
    </row>
    <row r="31" spans="1:5">
      <c r="A31">
        <v>30</v>
      </c>
      <c r="B31" t="s">
        <v>62</v>
      </c>
      <c r="C31" t="s">
        <v>28</v>
      </c>
      <c r="D31" t="s">
        <v>35</v>
      </c>
      <c r="E31" s="4">
        <v>44934</v>
      </c>
    </row>
    <row r="32" spans="1:5">
      <c r="A32">
        <v>31</v>
      </c>
      <c r="B32" t="s">
        <v>63</v>
      </c>
      <c r="C32" t="s">
        <v>30</v>
      </c>
      <c r="D32" t="s">
        <v>26</v>
      </c>
      <c r="E32" s="4">
        <v>45276</v>
      </c>
    </row>
    <row r="33" spans="1:5">
      <c r="A33">
        <v>32</v>
      </c>
      <c r="B33" t="s">
        <v>64</v>
      </c>
      <c r="C33" t="s">
        <v>30</v>
      </c>
      <c r="D33" t="s">
        <v>35</v>
      </c>
      <c r="E33" s="4">
        <v>45007</v>
      </c>
    </row>
    <row r="34" spans="1:5">
      <c r="A34">
        <v>33</v>
      </c>
      <c r="B34" t="s">
        <v>65</v>
      </c>
      <c r="C34" t="s">
        <v>25</v>
      </c>
      <c r="D34" t="s">
        <v>35</v>
      </c>
      <c r="E34" s="4">
        <v>45063</v>
      </c>
    </row>
    <row r="35" spans="1:5">
      <c r="A35">
        <v>34</v>
      </c>
      <c r="B35" t="s">
        <v>66</v>
      </c>
      <c r="C35" t="s">
        <v>53</v>
      </c>
      <c r="D35" t="s">
        <v>35</v>
      </c>
      <c r="E35" s="4">
        <v>45194</v>
      </c>
    </row>
    <row r="36" spans="1:5">
      <c r="A36">
        <v>35</v>
      </c>
      <c r="B36" t="s">
        <v>67</v>
      </c>
      <c r="C36" t="s">
        <v>37</v>
      </c>
      <c r="D36" t="s">
        <v>23</v>
      </c>
      <c r="E36" s="4">
        <v>45129</v>
      </c>
    </row>
    <row r="37" spans="1:5">
      <c r="A37">
        <v>36</v>
      </c>
      <c r="B37" t="s">
        <v>68</v>
      </c>
      <c r="C37" t="s">
        <v>22</v>
      </c>
      <c r="D37" t="s">
        <v>33</v>
      </c>
      <c r="E37" s="4">
        <v>45184</v>
      </c>
    </row>
    <row r="38" spans="1:5">
      <c r="A38">
        <v>37</v>
      </c>
      <c r="B38" t="s">
        <v>69</v>
      </c>
      <c r="C38" t="s">
        <v>30</v>
      </c>
      <c r="D38" t="s">
        <v>35</v>
      </c>
      <c r="E38" s="4">
        <v>45019</v>
      </c>
    </row>
    <row r="39" spans="1:5">
      <c r="A39">
        <v>38</v>
      </c>
      <c r="B39" t="s">
        <v>70</v>
      </c>
      <c r="C39" t="s">
        <v>22</v>
      </c>
      <c r="D39" t="s">
        <v>26</v>
      </c>
      <c r="E39" s="4">
        <v>45217</v>
      </c>
    </row>
    <row r="40" spans="1:5">
      <c r="A40">
        <v>39</v>
      </c>
      <c r="B40" t="s">
        <v>71</v>
      </c>
      <c r="C40" t="s">
        <v>37</v>
      </c>
      <c r="D40" t="s">
        <v>35</v>
      </c>
      <c r="E40" s="4">
        <v>44929</v>
      </c>
    </row>
    <row r="41" spans="1:5">
      <c r="A41">
        <v>40</v>
      </c>
      <c r="B41" t="s">
        <v>72</v>
      </c>
      <c r="C41" t="s">
        <v>42</v>
      </c>
      <c r="D41" t="s">
        <v>35</v>
      </c>
      <c r="E41" s="4">
        <v>44959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25"/>
  <cols>
    <col min="1" max="1" width="12" customWidth="1"/>
    <col min="2" max="2" width="24" customWidth="1"/>
    <col min="3" max="4" width="16" customWidth="1"/>
  </cols>
  <sheetData>
    <row r="1" spans="1:4" ht="15">
      <c r="A1" s="3" t="s">
        <v>73</v>
      </c>
      <c r="B1" s="3" t="s">
        <v>74</v>
      </c>
      <c r="C1" s="3" t="s">
        <v>75</v>
      </c>
      <c r="D1" s="3" t="s">
        <v>76</v>
      </c>
    </row>
    <row r="2" spans="1:4">
      <c r="A2">
        <v>1</v>
      </c>
      <c r="B2" t="s">
        <v>77</v>
      </c>
      <c r="C2" t="s">
        <v>78</v>
      </c>
      <c r="D2" t="s">
        <v>79</v>
      </c>
    </row>
    <row r="3" spans="1:4">
      <c r="A3">
        <v>2</v>
      </c>
      <c r="B3" t="s">
        <v>80</v>
      </c>
      <c r="C3" t="s">
        <v>81</v>
      </c>
      <c r="D3" t="s">
        <v>82</v>
      </c>
    </row>
    <row r="4" spans="1:4">
      <c r="A4">
        <v>3</v>
      </c>
      <c r="B4" t="s">
        <v>83</v>
      </c>
      <c r="C4" t="s">
        <v>84</v>
      </c>
      <c r="D4" t="s">
        <v>85</v>
      </c>
    </row>
    <row r="5" spans="1:4">
      <c r="A5">
        <v>4</v>
      </c>
      <c r="B5" t="s">
        <v>86</v>
      </c>
      <c r="C5" t="s">
        <v>84</v>
      </c>
      <c r="D5" t="s">
        <v>79</v>
      </c>
    </row>
    <row r="6" spans="1:4">
      <c r="A6">
        <v>5</v>
      </c>
      <c r="B6" t="s">
        <v>87</v>
      </c>
      <c r="C6" t="s">
        <v>78</v>
      </c>
      <c r="D6" t="s">
        <v>79</v>
      </c>
    </row>
    <row r="7" spans="1:4">
      <c r="A7">
        <v>6</v>
      </c>
      <c r="B7" t="s">
        <v>88</v>
      </c>
      <c r="C7" t="s">
        <v>89</v>
      </c>
      <c r="D7" t="s">
        <v>90</v>
      </c>
    </row>
    <row r="8" spans="1:4">
      <c r="A8">
        <v>7</v>
      </c>
      <c r="B8" t="s">
        <v>91</v>
      </c>
      <c r="C8" t="s">
        <v>81</v>
      </c>
      <c r="D8" t="s">
        <v>79</v>
      </c>
    </row>
    <row r="9" spans="1:4">
      <c r="A9">
        <v>8</v>
      </c>
      <c r="B9" t="s">
        <v>92</v>
      </c>
      <c r="C9" t="s">
        <v>81</v>
      </c>
      <c r="D9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abSelected="1" workbookViewId="0"/>
  </sheetViews>
  <sheetFormatPr defaultRowHeight="14.25"/>
  <cols>
    <col min="1" max="1" width="12" customWidth="1"/>
    <col min="2" max="2" width="22" customWidth="1"/>
    <col min="3" max="3" width="18" customWidth="1"/>
    <col min="4" max="6" width="12" customWidth="1"/>
  </cols>
  <sheetData>
    <row r="1" spans="1:6" ht="1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73</v>
      </c>
    </row>
    <row r="2" spans="1:6">
      <c r="A2">
        <v>1</v>
      </c>
      <c r="B2" t="s">
        <v>98</v>
      </c>
      <c r="C2" t="s">
        <v>99</v>
      </c>
      <c r="D2" s="5">
        <v>8</v>
      </c>
      <c r="E2" s="5">
        <v>18</v>
      </c>
      <c r="F2">
        <v>4</v>
      </c>
    </row>
    <row r="3" spans="1:6">
      <c r="A3">
        <v>2</v>
      </c>
      <c r="B3" t="s">
        <v>100</v>
      </c>
      <c r="C3" t="s">
        <v>99</v>
      </c>
      <c r="D3" s="5">
        <v>18</v>
      </c>
      <c r="E3" s="5">
        <v>42</v>
      </c>
      <c r="F3">
        <v>1</v>
      </c>
    </row>
    <row r="4" spans="1:6">
      <c r="A4">
        <v>3</v>
      </c>
      <c r="B4" t="s">
        <v>101</v>
      </c>
      <c r="C4" t="s">
        <v>99</v>
      </c>
      <c r="D4" s="5">
        <v>12</v>
      </c>
      <c r="E4" s="5">
        <v>29</v>
      </c>
      <c r="F4">
        <v>4</v>
      </c>
    </row>
    <row r="5" spans="1:6">
      <c r="A5">
        <v>4</v>
      </c>
      <c r="B5" t="s">
        <v>102</v>
      </c>
      <c r="C5" t="s">
        <v>99</v>
      </c>
      <c r="D5" s="5">
        <v>14</v>
      </c>
      <c r="E5" s="5">
        <v>35</v>
      </c>
      <c r="F5">
        <v>7</v>
      </c>
    </row>
    <row r="6" spans="1:6">
      <c r="A6">
        <v>5</v>
      </c>
      <c r="B6" t="s">
        <v>103</v>
      </c>
      <c r="C6" t="s">
        <v>99</v>
      </c>
      <c r="D6" s="5">
        <v>16</v>
      </c>
      <c r="E6" s="5">
        <v>39</v>
      </c>
      <c r="F6">
        <v>4</v>
      </c>
    </row>
    <row r="7" spans="1:6">
      <c r="A7">
        <v>6</v>
      </c>
      <c r="B7" t="s">
        <v>104</v>
      </c>
      <c r="C7" t="s">
        <v>105</v>
      </c>
      <c r="D7" s="5">
        <v>2</v>
      </c>
      <c r="E7" s="5">
        <v>6</v>
      </c>
      <c r="F7">
        <v>8</v>
      </c>
    </row>
    <row r="8" spans="1:6">
      <c r="A8">
        <v>7</v>
      </c>
      <c r="B8" t="s">
        <v>106</v>
      </c>
      <c r="C8" t="s">
        <v>105</v>
      </c>
      <c r="D8" s="5">
        <v>1.5</v>
      </c>
      <c r="E8" s="5">
        <v>5</v>
      </c>
      <c r="F8">
        <v>5</v>
      </c>
    </row>
    <row r="9" spans="1:6">
      <c r="A9">
        <v>8</v>
      </c>
      <c r="B9" t="s">
        <v>107</v>
      </c>
      <c r="C9" t="s">
        <v>105</v>
      </c>
      <c r="D9" s="5">
        <v>5</v>
      </c>
      <c r="E9" s="5">
        <v>13</v>
      </c>
      <c r="F9">
        <v>1</v>
      </c>
    </row>
    <row r="10" spans="1:6">
      <c r="A10">
        <v>9</v>
      </c>
      <c r="B10" t="s">
        <v>108</v>
      </c>
      <c r="C10" t="s">
        <v>105</v>
      </c>
      <c r="D10" s="5">
        <v>3</v>
      </c>
      <c r="E10" s="5">
        <v>8</v>
      </c>
      <c r="F10">
        <v>3</v>
      </c>
    </row>
    <row r="11" spans="1:6">
      <c r="A11">
        <v>10</v>
      </c>
      <c r="B11" t="s">
        <v>109</v>
      </c>
      <c r="C11" t="s">
        <v>105</v>
      </c>
      <c r="D11" s="5">
        <v>1.2</v>
      </c>
      <c r="E11" s="5">
        <v>4</v>
      </c>
      <c r="F11">
        <v>7</v>
      </c>
    </row>
    <row r="12" spans="1:6">
      <c r="A12">
        <v>11</v>
      </c>
      <c r="B12" t="s">
        <v>110</v>
      </c>
      <c r="C12" t="s">
        <v>111</v>
      </c>
      <c r="D12" s="5">
        <v>3</v>
      </c>
      <c r="E12" s="5">
        <v>9</v>
      </c>
      <c r="F12">
        <v>6</v>
      </c>
    </row>
    <row r="13" spans="1:6">
      <c r="A13">
        <v>12</v>
      </c>
      <c r="B13" t="s">
        <v>112</v>
      </c>
      <c r="C13" t="s">
        <v>111</v>
      </c>
      <c r="D13" s="5">
        <v>6</v>
      </c>
      <c r="E13" s="5">
        <v>15</v>
      </c>
      <c r="F13">
        <v>5</v>
      </c>
    </row>
    <row r="14" spans="1:6">
      <c r="A14">
        <v>13</v>
      </c>
      <c r="B14" t="s">
        <v>113</v>
      </c>
      <c r="C14" t="s">
        <v>111</v>
      </c>
      <c r="D14" s="5">
        <v>10</v>
      </c>
      <c r="E14" s="5">
        <v>26</v>
      </c>
      <c r="F14">
        <v>3</v>
      </c>
    </row>
    <row r="15" spans="1:6">
      <c r="A15">
        <v>14</v>
      </c>
      <c r="B15" t="s">
        <v>114</v>
      </c>
      <c r="C15" t="s">
        <v>111</v>
      </c>
      <c r="D15" s="5">
        <v>4</v>
      </c>
      <c r="E15" s="5">
        <v>12</v>
      </c>
      <c r="F15">
        <v>4</v>
      </c>
    </row>
    <row r="16" spans="1:6">
      <c r="A16">
        <v>15</v>
      </c>
      <c r="B16" t="s">
        <v>115</v>
      </c>
      <c r="C16" t="s">
        <v>111</v>
      </c>
      <c r="D16" s="5">
        <v>7</v>
      </c>
      <c r="E16" s="5">
        <v>18</v>
      </c>
      <c r="F16">
        <v>6</v>
      </c>
    </row>
    <row r="17" spans="1:6">
      <c r="A17">
        <v>16</v>
      </c>
      <c r="B17" t="s">
        <v>116</v>
      </c>
      <c r="C17" t="s">
        <v>117</v>
      </c>
      <c r="D17" s="5">
        <v>18</v>
      </c>
      <c r="E17" s="5">
        <v>45</v>
      </c>
      <c r="F17">
        <v>2</v>
      </c>
    </row>
    <row r="18" spans="1:6">
      <c r="A18">
        <v>17</v>
      </c>
      <c r="B18" t="s">
        <v>118</v>
      </c>
      <c r="C18" t="s">
        <v>117</v>
      </c>
      <c r="D18" s="5">
        <v>6</v>
      </c>
      <c r="E18" s="5">
        <v>16</v>
      </c>
      <c r="F18">
        <v>2</v>
      </c>
    </row>
    <row r="19" spans="1:6">
      <c r="A19">
        <v>18</v>
      </c>
      <c r="B19" t="s">
        <v>119</v>
      </c>
      <c r="C19" t="s">
        <v>117</v>
      </c>
      <c r="D19" s="5">
        <v>9</v>
      </c>
      <c r="E19" s="5">
        <v>22</v>
      </c>
      <c r="F19">
        <v>7</v>
      </c>
    </row>
    <row r="20" spans="1:6">
      <c r="A20">
        <v>19</v>
      </c>
      <c r="B20" t="s">
        <v>120</v>
      </c>
      <c r="C20" t="s">
        <v>117</v>
      </c>
      <c r="D20" s="5">
        <v>5</v>
      </c>
      <c r="E20" s="5">
        <v>14</v>
      </c>
      <c r="F20">
        <v>2</v>
      </c>
    </row>
    <row r="21" spans="1:6">
      <c r="A21">
        <v>20</v>
      </c>
      <c r="B21" t="s">
        <v>121</v>
      </c>
      <c r="C21" t="s">
        <v>117</v>
      </c>
      <c r="D21" s="5">
        <v>1.5</v>
      </c>
      <c r="E21" s="5">
        <v>6</v>
      </c>
      <c r="F21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1"/>
  <sheetViews>
    <sheetView workbookViewId="0">
      <selection activeCell="E1" sqref="E1"/>
    </sheetView>
  </sheetViews>
  <sheetFormatPr defaultRowHeight="14.25"/>
  <cols>
    <col min="1" max="1" width="10" customWidth="1"/>
    <col min="2" max="2" width="14" customWidth="1"/>
    <col min="3" max="4" width="12" customWidth="1"/>
    <col min="5" max="5" width="10" customWidth="1"/>
    <col min="6" max="6" width="18" customWidth="1"/>
    <col min="7" max="7" width="14" customWidth="1"/>
  </cols>
  <sheetData>
    <row r="1" spans="1:7" ht="15">
      <c r="A1" s="3" t="s">
        <v>122</v>
      </c>
      <c r="B1" s="3" t="s">
        <v>123</v>
      </c>
      <c r="C1" s="3" t="s">
        <v>16</v>
      </c>
      <c r="D1" s="3" t="s">
        <v>93</v>
      </c>
      <c r="E1" s="3" t="s">
        <v>124</v>
      </c>
      <c r="F1" s="3" t="s">
        <v>125</v>
      </c>
      <c r="G1" s="3" t="s">
        <v>126</v>
      </c>
    </row>
    <row r="2" spans="1:7">
      <c r="A2">
        <v>1</v>
      </c>
      <c r="B2" s="4">
        <v>45461</v>
      </c>
      <c r="C2">
        <v>5</v>
      </c>
      <c r="D2">
        <v>17</v>
      </c>
      <c r="E2">
        <v>2</v>
      </c>
      <c r="F2" s="6">
        <v>0.15</v>
      </c>
      <c r="G2" t="s">
        <v>33</v>
      </c>
    </row>
    <row r="3" spans="1:7">
      <c r="A3">
        <v>2</v>
      </c>
      <c r="B3" s="4">
        <v>45401</v>
      </c>
      <c r="C3">
        <v>35</v>
      </c>
      <c r="D3">
        <v>5</v>
      </c>
      <c r="E3">
        <v>4</v>
      </c>
      <c r="F3" s="6">
        <v>0.1</v>
      </c>
      <c r="G3" t="s">
        <v>127</v>
      </c>
    </row>
    <row r="4" spans="1:7">
      <c r="A4">
        <v>3</v>
      </c>
      <c r="B4" s="4">
        <v>45534</v>
      </c>
      <c r="C4">
        <v>16</v>
      </c>
      <c r="D4">
        <v>16</v>
      </c>
      <c r="E4">
        <v>5</v>
      </c>
      <c r="F4" s="6">
        <v>0</v>
      </c>
      <c r="G4" t="s">
        <v>128</v>
      </c>
    </row>
    <row r="5" spans="1:7">
      <c r="A5">
        <v>4</v>
      </c>
      <c r="B5" s="4">
        <v>45341</v>
      </c>
      <c r="C5">
        <v>28</v>
      </c>
      <c r="D5">
        <v>12</v>
      </c>
      <c r="E5">
        <v>2</v>
      </c>
      <c r="F5" s="6">
        <v>0.05</v>
      </c>
      <c r="G5" t="s">
        <v>127</v>
      </c>
    </row>
    <row r="6" spans="1:7">
      <c r="A6">
        <v>5</v>
      </c>
      <c r="B6" s="4">
        <v>45319</v>
      </c>
      <c r="C6">
        <v>7</v>
      </c>
      <c r="D6">
        <v>2</v>
      </c>
      <c r="E6">
        <v>2</v>
      </c>
      <c r="F6" s="6">
        <v>0</v>
      </c>
      <c r="G6" t="s">
        <v>128</v>
      </c>
    </row>
    <row r="7" spans="1:7">
      <c r="A7">
        <v>6</v>
      </c>
      <c r="B7" s="4">
        <v>45419</v>
      </c>
      <c r="C7">
        <v>13</v>
      </c>
      <c r="D7">
        <v>7</v>
      </c>
      <c r="E7">
        <v>3</v>
      </c>
      <c r="F7" s="6">
        <v>0</v>
      </c>
      <c r="G7" t="s">
        <v>33</v>
      </c>
    </row>
    <row r="8" spans="1:7">
      <c r="A8">
        <v>7</v>
      </c>
      <c r="B8" s="4">
        <v>45385</v>
      </c>
      <c r="C8">
        <v>18</v>
      </c>
      <c r="D8">
        <v>15</v>
      </c>
      <c r="E8">
        <v>2</v>
      </c>
      <c r="F8" s="6">
        <v>0</v>
      </c>
      <c r="G8" t="s">
        <v>33</v>
      </c>
    </row>
    <row r="9" spans="1:7">
      <c r="A9">
        <v>8</v>
      </c>
      <c r="B9" s="4">
        <v>45573</v>
      </c>
      <c r="C9">
        <v>7</v>
      </c>
      <c r="D9">
        <v>2</v>
      </c>
      <c r="E9">
        <v>4</v>
      </c>
      <c r="F9" s="6">
        <v>0.1</v>
      </c>
      <c r="G9" t="s">
        <v>128</v>
      </c>
    </row>
    <row r="10" spans="1:7">
      <c r="A10">
        <v>9</v>
      </c>
      <c r="B10" s="4">
        <v>45339</v>
      </c>
      <c r="C10">
        <v>16</v>
      </c>
      <c r="D10">
        <v>6</v>
      </c>
      <c r="E10">
        <v>2</v>
      </c>
      <c r="F10" s="6">
        <v>0.05</v>
      </c>
      <c r="G10" t="s">
        <v>128</v>
      </c>
    </row>
    <row r="11" spans="1:7">
      <c r="A11">
        <v>10</v>
      </c>
      <c r="B11" s="4">
        <v>45497</v>
      </c>
      <c r="C11">
        <v>4</v>
      </c>
      <c r="D11">
        <v>6</v>
      </c>
      <c r="E11">
        <v>2</v>
      </c>
      <c r="F11" s="6">
        <v>0.05</v>
      </c>
      <c r="G11" t="s">
        <v>33</v>
      </c>
    </row>
    <row r="12" spans="1:7">
      <c r="A12">
        <v>11</v>
      </c>
      <c r="B12" s="4">
        <v>45524</v>
      </c>
      <c r="C12">
        <v>19</v>
      </c>
      <c r="D12">
        <v>14</v>
      </c>
      <c r="E12">
        <v>4</v>
      </c>
      <c r="F12" s="6">
        <v>0.15</v>
      </c>
      <c r="G12" t="s">
        <v>127</v>
      </c>
    </row>
    <row r="13" spans="1:7">
      <c r="A13">
        <v>12</v>
      </c>
      <c r="B13" s="4">
        <v>45630</v>
      </c>
      <c r="C13">
        <v>32</v>
      </c>
      <c r="D13">
        <v>5</v>
      </c>
      <c r="E13">
        <v>2</v>
      </c>
      <c r="F13" s="6">
        <v>0</v>
      </c>
      <c r="G13" t="s">
        <v>128</v>
      </c>
    </row>
    <row r="14" spans="1:7">
      <c r="A14">
        <v>13</v>
      </c>
      <c r="B14" s="4">
        <v>45588</v>
      </c>
      <c r="C14">
        <v>35</v>
      </c>
      <c r="D14">
        <v>2</v>
      </c>
      <c r="E14">
        <v>4</v>
      </c>
      <c r="F14" s="6">
        <v>0</v>
      </c>
      <c r="G14" t="s">
        <v>128</v>
      </c>
    </row>
    <row r="15" spans="1:7">
      <c r="A15">
        <v>14</v>
      </c>
      <c r="B15" s="4">
        <v>45591</v>
      </c>
      <c r="C15">
        <v>31</v>
      </c>
      <c r="D15">
        <v>17</v>
      </c>
      <c r="E15">
        <v>8</v>
      </c>
      <c r="F15" s="6">
        <v>0.1</v>
      </c>
      <c r="G15" t="s">
        <v>128</v>
      </c>
    </row>
    <row r="16" spans="1:7">
      <c r="A16">
        <v>15</v>
      </c>
      <c r="B16" s="4">
        <v>45321</v>
      </c>
      <c r="C16">
        <v>33</v>
      </c>
      <c r="D16">
        <v>3</v>
      </c>
      <c r="E16">
        <v>6</v>
      </c>
      <c r="F16" s="6">
        <v>0</v>
      </c>
      <c r="G16" t="s">
        <v>127</v>
      </c>
    </row>
    <row r="17" spans="1:7">
      <c r="A17">
        <v>16</v>
      </c>
      <c r="B17" s="4">
        <v>45326</v>
      </c>
      <c r="C17">
        <v>16</v>
      </c>
      <c r="D17">
        <v>13</v>
      </c>
      <c r="E17">
        <v>1</v>
      </c>
      <c r="F17" s="6">
        <v>0.1</v>
      </c>
      <c r="G17" t="s">
        <v>128</v>
      </c>
    </row>
    <row r="18" spans="1:7">
      <c r="A18">
        <v>17</v>
      </c>
      <c r="B18" s="4">
        <v>45588</v>
      </c>
      <c r="C18">
        <v>39</v>
      </c>
      <c r="D18">
        <v>2</v>
      </c>
      <c r="E18">
        <v>4</v>
      </c>
      <c r="F18" s="6">
        <v>0.05</v>
      </c>
      <c r="G18" t="s">
        <v>127</v>
      </c>
    </row>
    <row r="19" spans="1:7">
      <c r="A19">
        <v>18</v>
      </c>
      <c r="B19" s="4">
        <v>45590</v>
      </c>
      <c r="C19">
        <v>37</v>
      </c>
      <c r="D19">
        <v>17</v>
      </c>
      <c r="E19">
        <v>2</v>
      </c>
      <c r="F19" s="6">
        <v>0</v>
      </c>
      <c r="G19" t="s">
        <v>128</v>
      </c>
    </row>
    <row r="20" spans="1:7">
      <c r="A20">
        <v>19</v>
      </c>
      <c r="B20" s="4">
        <v>45634</v>
      </c>
      <c r="C20">
        <v>21</v>
      </c>
      <c r="D20">
        <v>8</v>
      </c>
      <c r="E20">
        <v>2</v>
      </c>
      <c r="F20" s="6">
        <v>0</v>
      </c>
      <c r="G20" t="s">
        <v>127</v>
      </c>
    </row>
    <row r="21" spans="1:7">
      <c r="A21">
        <v>20</v>
      </c>
      <c r="B21" s="4">
        <v>45622</v>
      </c>
      <c r="C21">
        <v>20</v>
      </c>
      <c r="D21">
        <v>15</v>
      </c>
      <c r="E21">
        <v>2</v>
      </c>
      <c r="F21" s="6">
        <v>0</v>
      </c>
      <c r="G21" t="s">
        <v>128</v>
      </c>
    </row>
    <row r="22" spans="1:7">
      <c r="A22">
        <v>21</v>
      </c>
      <c r="B22" s="4">
        <v>45526</v>
      </c>
      <c r="C22">
        <v>40</v>
      </c>
      <c r="D22">
        <v>19</v>
      </c>
      <c r="E22">
        <v>15</v>
      </c>
      <c r="F22" s="6">
        <v>0</v>
      </c>
      <c r="G22" t="s">
        <v>127</v>
      </c>
    </row>
    <row r="23" spans="1:7">
      <c r="A23">
        <v>22</v>
      </c>
      <c r="B23" s="4">
        <v>45401</v>
      </c>
      <c r="C23">
        <v>33</v>
      </c>
      <c r="D23">
        <v>9</v>
      </c>
      <c r="E23">
        <v>1</v>
      </c>
      <c r="F23" s="6">
        <v>0</v>
      </c>
      <c r="G23" t="s">
        <v>128</v>
      </c>
    </row>
    <row r="24" spans="1:7">
      <c r="A24">
        <v>23</v>
      </c>
      <c r="B24" s="4">
        <v>45417</v>
      </c>
      <c r="C24">
        <v>24</v>
      </c>
      <c r="D24">
        <v>10</v>
      </c>
      <c r="E24">
        <v>1</v>
      </c>
      <c r="F24" s="6">
        <v>0.1</v>
      </c>
      <c r="G24" t="s">
        <v>127</v>
      </c>
    </row>
    <row r="25" spans="1:7">
      <c r="A25">
        <v>24</v>
      </c>
      <c r="B25" s="4">
        <v>45446</v>
      </c>
      <c r="C25">
        <v>40</v>
      </c>
      <c r="D25">
        <v>17</v>
      </c>
      <c r="E25">
        <v>1</v>
      </c>
      <c r="F25" s="6">
        <v>0.1</v>
      </c>
      <c r="G25" t="s">
        <v>33</v>
      </c>
    </row>
    <row r="26" spans="1:7">
      <c r="A26">
        <v>25</v>
      </c>
      <c r="B26" s="4">
        <v>45631</v>
      </c>
      <c r="C26">
        <v>7</v>
      </c>
      <c r="D26">
        <v>5</v>
      </c>
      <c r="E26">
        <v>2</v>
      </c>
      <c r="F26" s="6">
        <v>0</v>
      </c>
      <c r="G26" t="s">
        <v>127</v>
      </c>
    </row>
    <row r="27" spans="1:7">
      <c r="A27">
        <v>26</v>
      </c>
      <c r="B27" s="4">
        <v>45575</v>
      </c>
      <c r="C27">
        <v>10</v>
      </c>
      <c r="D27">
        <v>9</v>
      </c>
      <c r="E27">
        <v>2</v>
      </c>
      <c r="F27" s="6">
        <v>0</v>
      </c>
      <c r="G27" t="s">
        <v>127</v>
      </c>
    </row>
    <row r="28" spans="1:7">
      <c r="A28">
        <v>27</v>
      </c>
      <c r="B28" s="4">
        <v>45467</v>
      </c>
      <c r="C28">
        <v>14</v>
      </c>
      <c r="D28">
        <v>9</v>
      </c>
      <c r="E28">
        <v>3</v>
      </c>
      <c r="F28" s="6">
        <v>0</v>
      </c>
      <c r="G28" t="s">
        <v>128</v>
      </c>
    </row>
    <row r="29" spans="1:7">
      <c r="A29">
        <v>28</v>
      </c>
      <c r="B29" s="4">
        <v>45339</v>
      </c>
      <c r="C29">
        <v>28</v>
      </c>
      <c r="D29">
        <v>9</v>
      </c>
      <c r="E29">
        <v>1</v>
      </c>
      <c r="F29" s="6">
        <v>0</v>
      </c>
      <c r="G29" t="s">
        <v>128</v>
      </c>
    </row>
    <row r="30" spans="1:7">
      <c r="A30">
        <v>29</v>
      </c>
      <c r="B30" s="4">
        <v>45618</v>
      </c>
      <c r="C30">
        <v>17</v>
      </c>
      <c r="D30">
        <v>6</v>
      </c>
      <c r="E30">
        <v>4</v>
      </c>
      <c r="F30" s="6">
        <v>0.1</v>
      </c>
      <c r="G30" t="s">
        <v>127</v>
      </c>
    </row>
    <row r="31" spans="1:7">
      <c r="A31">
        <v>30</v>
      </c>
      <c r="B31" s="4">
        <v>45510</v>
      </c>
      <c r="C31">
        <v>36</v>
      </c>
      <c r="D31">
        <v>1</v>
      </c>
      <c r="E31">
        <v>1</v>
      </c>
      <c r="F31" s="6">
        <v>0.15</v>
      </c>
      <c r="G31" t="s">
        <v>128</v>
      </c>
    </row>
    <row r="32" spans="1:7">
      <c r="A32">
        <v>31</v>
      </c>
      <c r="B32" s="4">
        <v>45571</v>
      </c>
      <c r="C32">
        <v>3</v>
      </c>
      <c r="D32">
        <v>12</v>
      </c>
      <c r="E32">
        <v>3</v>
      </c>
      <c r="F32" s="6">
        <v>0</v>
      </c>
      <c r="G32" t="s">
        <v>33</v>
      </c>
    </row>
    <row r="33" spans="1:7">
      <c r="A33">
        <v>32</v>
      </c>
      <c r="B33" s="4">
        <v>45357</v>
      </c>
      <c r="C33">
        <v>3</v>
      </c>
      <c r="D33">
        <v>10</v>
      </c>
      <c r="E33">
        <v>2</v>
      </c>
      <c r="F33" s="6">
        <v>0</v>
      </c>
      <c r="G33" t="s">
        <v>33</v>
      </c>
    </row>
    <row r="34" spans="1:7">
      <c r="A34">
        <v>33</v>
      </c>
      <c r="B34" s="4">
        <v>45399</v>
      </c>
      <c r="C34">
        <v>16</v>
      </c>
      <c r="D34">
        <v>4</v>
      </c>
      <c r="E34">
        <v>2</v>
      </c>
      <c r="F34" s="6">
        <v>0.1</v>
      </c>
      <c r="G34" t="s">
        <v>33</v>
      </c>
    </row>
    <row r="35" spans="1:7">
      <c r="A35">
        <v>34</v>
      </c>
      <c r="B35" s="4">
        <v>45609</v>
      </c>
      <c r="C35">
        <v>10</v>
      </c>
      <c r="D35">
        <v>8</v>
      </c>
      <c r="E35">
        <v>6</v>
      </c>
      <c r="F35" s="6">
        <v>0</v>
      </c>
      <c r="G35" t="s">
        <v>33</v>
      </c>
    </row>
    <row r="36" spans="1:7">
      <c r="A36">
        <v>35</v>
      </c>
      <c r="B36" s="4">
        <v>45304</v>
      </c>
      <c r="C36">
        <v>12</v>
      </c>
      <c r="D36">
        <v>11</v>
      </c>
      <c r="E36">
        <v>5</v>
      </c>
      <c r="F36" s="6">
        <v>0.05</v>
      </c>
      <c r="G36" t="s">
        <v>127</v>
      </c>
    </row>
    <row r="37" spans="1:7">
      <c r="A37">
        <v>36</v>
      </c>
      <c r="B37" s="4">
        <v>45419</v>
      </c>
      <c r="C37">
        <v>18</v>
      </c>
      <c r="D37">
        <v>6</v>
      </c>
      <c r="E37">
        <v>5</v>
      </c>
      <c r="F37" s="6">
        <v>0</v>
      </c>
      <c r="G37" t="s">
        <v>33</v>
      </c>
    </row>
    <row r="38" spans="1:7">
      <c r="A38">
        <v>37</v>
      </c>
      <c r="B38" s="4">
        <v>45311</v>
      </c>
      <c r="C38">
        <v>31</v>
      </c>
      <c r="D38">
        <v>8</v>
      </c>
      <c r="E38">
        <v>2</v>
      </c>
      <c r="F38" s="6">
        <v>0.05</v>
      </c>
      <c r="G38" t="s">
        <v>33</v>
      </c>
    </row>
    <row r="39" spans="1:7">
      <c r="A39">
        <v>38</v>
      </c>
      <c r="B39" s="4">
        <v>45448</v>
      </c>
      <c r="C39">
        <v>15</v>
      </c>
      <c r="D39">
        <v>8</v>
      </c>
      <c r="E39">
        <v>1</v>
      </c>
      <c r="F39" s="6">
        <v>0</v>
      </c>
      <c r="G39" t="s">
        <v>33</v>
      </c>
    </row>
    <row r="40" spans="1:7">
      <c r="A40">
        <v>39</v>
      </c>
      <c r="B40" s="4">
        <v>45460</v>
      </c>
      <c r="C40">
        <v>18</v>
      </c>
      <c r="D40">
        <v>3</v>
      </c>
      <c r="E40">
        <v>10</v>
      </c>
      <c r="F40" s="6">
        <v>0</v>
      </c>
      <c r="G40" t="s">
        <v>33</v>
      </c>
    </row>
    <row r="41" spans="1:7">
      <c r="A41">
        <v>40</v>
      </c>
      <c r="B41" s="4">
        <v>45620</v>
      </c>
      <c r="C41">
        <v>33</v>
      </c>
      <c r="D41">
        <v>13</v>
      </c>
      <c r="E41">
        <v>4</v>
      </c>
      <c r="F41" s="6">
        <v>0.1</v>
      </c>
      <c r="G41" t="s">
        <v>33</v>
      </c>
    </row>
    <row r="42" spans="1:7">
      <c r="A42">
        <v>41</v>
      </c>
      <c r="B42" s="4">
        <v>45306</v>
      </c>
      <c r="C42">
        <v>8</v>
      </c>
      <c r="D42">
        <v>9</v>
      </c>
      <c r="E42">
        <v>1</v>
      </c>
      <c r="F42" s="6">
        <v>0</v>
      </c>
      <c r="G42" t="s">
        <v>128</v>
      </c>
    </row>
    <row r="43" spans="1:7">
      <c r="A43">
        <v>42</v>
      </c>
      <c r="B43" s="4">
        <v>45347</v>
      </c>
      <c r="C43">
        <v>39</v>
      </c>
      <c r="D43">
        <v>14</v>
      </c>
      <c r="E43">
        <v>2</v>
      </c>
      <c r="F43" s="6">
        <v>0</v>
      </c>
      <c r="G43" t="s">
        <v>33</v>
      </c>
    </row>
    <row r="44" spans="1:7">
      <c r="A44">
        <v>43</v>
      </c>
      <c r="B44" s="4">
        <v>45602</v>
      </c>
      <c r="C44">
        <v>33</v>
      </c>
      <c r="D44">
        <v>4</v>
      </c>
      <c r="E44">
        <v>2</v>
      </c>
      <c r="F44" s="6">
        <v>0.1</v>
      </c>
      <c r="G44" t="s">
        <v>128</v>
      </c>
    </row>
    <row r="45" spans="1:7">
      <c r="A45">
        <v>44</v>
      </c>
      <c r="B45" s="4">
        <v>45422</v>
      </c>
      <c r="C45">
        <v>3</v>
      </c>
      <c r="D45">
        <v>14</v>
      </c>
      <c r="E45">
        <v>1</v>
      </c>
      <c r="F45" s="6">
        <v>0.1</v>
      </c>
      <c r="G45" t="s">
        <v>127</v>
      </c>
    </row>
    <row r="46" spans="1:7">
      <c r="A46">
        <v>45</v>
      </c>
      <c r="B46" s="4">
        <v>45635</v>
      </c>
      <c r="C46">
        <v>13</v>
      </c>
      <c r="D46">
        <v>12</v>
      </c>
      <c r="E46">
        <v>3</v>
      </c>
      <c r="F46" s="6">
        <v>0.15</v>
      </c>
      <c r="G46" t="s">
        <v>33</v>
      </c>
    </row>
    <row r="47" spans="1:7">
      <c r="A47">
        <v>46</v>
      </c>
      <c r="B47" s="4">
        <v>45611</v>
      </c>
      <c r="C47">
        <v>21</v>
      </c>
      <c r="D47">
        <v>4</v>
      </c>
      <c r="E47">
        <v>4</v>
      </c>
      <c r="F47" s="6">
        <v>0</v>
      </c>
      <c r="G47" t="s">
        <v>127</v>
      </c>
    </row>
    <row r="48" spans="1:7">
      <c r="A48">
        <v>47</v>
      </c>
      <c r="B48" s="4">
        <v>45450</v>
      </c>
      <c r="C48">
        <v>27</v>
      </c>
      <c r="D48">
        <v>11</v>
      </c>
      <c r="E48">
        <v>2</v>
      </c>
      <c r="F48" s="6">
        <v>0</v>
      </c>
      <c r="G48" t="s">
        <v>127</v>
      </c>
    </row>
    <row r="49" spans="1:7">
      <c r="A49">
        <v>48</v>
      </c>
      <c r="B49" s="4">
        <v>45357</v>
      </c>
      <c r="C49">
        <v>13</v>
      </c>
      <c r="D49">
        <v>14</v>
      </c>
      <c r="E49">
        <v>4</v>
      </c>
      <c r="F49" s="6">
        <v>0.05</v>
      </c>
      <c r="G49" t="s">
        <v>127</v>
      </c>
    </row>
    <row r="50" spans="1:7">
      <c r="A50">
        <v>49</v>
      </c>
      <c r="B50" s="4">
        <v>45381</v>
      </c>
      <c r="C50">
        <v>40</v>
      </c>
      <c r="D50">
        <v>19</v>
      </c>
      <c r="E50">
        <v>2</v>
      </c>
      <c r="F50" s="6">
        <v>0.1</v>
      </c>
      <c r="G50" t="s">
        <v>128</v>
      </c>
    </row>
    <row r="51" spans="1:7">
      <c r="A51">
        <v>50</v>
      </c>
      <c r="B51" s="4">
        <v>45447</v>
      </c>
      <c r="C51">
        <v>19</v>
      </c>
      <c r="D51">
        <v>7</v>
      </c>
      <c r="E51">
        <v>3</v>
      </c>
      <c r="F51" s="6">
        <v>0.1</v>
      </c>
      <c r="G51" t="s">
        <v>127</v>
      </c>
    </row>
    <row r="52" spans="1:7">
      <c r="A52">
        <v>51</v>
      </c>
      <c r="B52" s="4">
        <v>45627</v>
      </c>
      <c r="C52">
        <v>21</v>
      </c>
      <c r="D52">
        <v>15</v>
      </c>
      <c r="E52">
        <v>3</v>
      </c>
      <c r="F52" s="6">
        <v>0.15</v>
      </c>
      <c r="G52" t="s">
        <v>128</v>
      </c>
    </row>
    <row r="53" spans="1:7">
      <c r="A53">
        <v>52</v>
      </c>
      <c r="B53" s="4">
        <v>45553</v>
      </c>
      <c r="C53">
        <v>31</v>
      </c>
      <c r="D53">
        <v>6</v>
      </c>
      <c r="E53">
        <v>4</v>
      </c>
      <c r="F53" s="6">
        <v>0</v>
      </c>
      <c r="G53" t="s">
        <v>127</v>
      </c>
    </row>
    <row r="54" spans="1:7">
      <c r="A54">
        <v>53</v>
      </c>
      <c r="B54" s="4">
        <v>45631</v>
      </c>
      <c r="C54">
        <v>40</v>
      </c>
      <c r="D54">
        <v>11</v>
      </c>
      <c r="E54">
        <v>1</v>
      </c>
      <c r="F54" s="6">
        <v>0</v>
      </c>
      <c r="G54" t="s">
        <v>127</v>
      </c>
    </row>
    <row r="55" spans="1:7">
      <c r="A55">
        <v>54</v>
      </c>
      <c r="B55" s="4">
        <v>45450</v>
      </c>
      <c r="C55">
        <v>15</v>
      </c>
      <c r="D55">
        <v>7</v>
      </c>
      <c r="E55">
        <v>1</v>
      </c>
      <c r="F55" s="6">
        <v>0</v>
      </c>
      <c r="G55" t="s">
        <v>128</v>
      </c>
    </row>
    <row r="56" spans="1:7">
      <c r="A56">
        <v>55</v>
      </c>
      <c r="B56" s="4">
        <v>45535</v>
      </c>
      <c r="C56">
        <v>40</v>
      </c>
      <c r="D56">
        <v>3</v>
      </c>
      <c r="E56">
        <v>3</v>
      </c>
      <c r="F56" s="6">
        <v>0.15</v>
      </c>
      <c r="G56" t="s">
        <v>127</v>
      </c>
    </row>
    <row r="57" spans="1:7">
      <c r="A57">
        <v>56</v>
      </c>
      <c r="B57" s="4">
        <v>45391</v>
      </c>
      <c r="C57">
        <v>25</v>
      </c>
      <c r="D57">
        <v>16</v>
      </c>
      <c r="E57">
        <v>2</v>
      </c>
      <c r="F57" s="6">
        <v>0</v>
      </c>
      <c r="G57" t="s">
        <v>127</v>
      </c>
    </row>
    <row r="58" spans="1:7">
      <c r="A58">
        <v>57</v>
      </c>
      <c r="B58" s="4">
        <v>45644</v>
      </c>
      <c r="C58">
        <v>1</v>
      </c>
      <c r="D58">
        <v>4</v>
      </c>
      <c r="E58">
        <v>5</v>
      </c>
      <c r="F58" s="6">
        <v>0</v>
      </c>
      <c r="G58" t="s">
        <v>128</v>
      </c>
    </row>
    <row r="59" spans="1:7">
      <c r="A59">
        <v>58</v>
      </c>
      <c r="B59" s="4">
        <v>45648</v>
      </c>
      <c r="C59">
        <v>34</v>
      </c>
      <c r="D59">
        <v>15</v>
      </c>
      <c r="E59">
        <v>1</v>
      </c>
      <c r="F59" s="6">
        <v>0</v>
      </c>
      <c r="G59" t="s">
        <v>128</v>
      </c>
    </row>
    <row r="60" spans="1:7">
      <c r="A60">
        <v>59</v>
      </c>
      <c r="B60" s="4">
        <v>45525</v>
      </c>
      <c r="C60">
        <v>9</v>
      </c>
      <c r="D60">
        <v>15</v>
      </c>
      <c r="E60">
        <v>4</v>
      </c>
      <c r="F60" s="6">
        <v>0.1</v>
      </c>
      <c r="G60" t="s">
        <v>127</v>
      </c>
    </row>
    <row r="61" spans="1:7">
      <c r="A61">
        <v>60</v>
      </c>
      <c r="B61" s="4">
        <v>45454</v>
      </c>
      <c r="C61">
        <v>29</v>
      </c>
      <c r="D61">
        <v>20</v>
      </c>
      <c r="E61">
        <v>5</v>
      </c>
      <c r="F61" s="6">
        <v>0.1</v>
      </c>
      <c r="G61" t="s">
        <v>33</v>
      </c>
    </row>
    <row r="62" spans="1:7">
      <c r="A62">
        <v>61</v>
      </c>
      <c r="B62" s="4">
        <v>45572</v>
      </c>
      <c r="C62">
        <v>29</v>
      </c>
      <c r="D62">
        <v>6</v>
      </c>
      <c r="E62">
        <v>4</v>
      </c>
      <c r="F62" s="6">
        <v>0.05</v>
      </c>
      <c r="G62" t="s">
        <v>33</v>
      </c>
    </row>
    <row r="63" spans="1:7">
      <c r="A63">
        <v>62</v>
      </c>
      <c r="B63" s="4">
        <v>45424</v>
      </c>
      <c r="C63">
        <v>16</v>
      </c>
      <c r="D63">
        <v>9</v>
      </c>
      <c r="E63">
        <v>5</v>
      </c>
      <c r="F63" s="6">
        <v>0.1</v>
      </c>
      <c r="G63" t="s">
        <v>33</v>
      </c>
    </row>
    <row r="64" spans="1:7">
      <c r="A64">
        <v>63</v>
      </c>
      <c r="B64" s="4">
        <v>45612</v>
      </c>
      <c r="C64">
        <v>16</v>
      </c>
      <c r="D64">
        <v>9</v>
      </c>
      <c r="E64">
        <v>3</v>
      </c>
      <c r="F64" s="6">
        <v>0.15</v>
      </c>
      <c r="G64" t="s">
        <v>33</v>
      </c>
    </row>
    <row r="65" spans="1:7">
      <c r="A65">
        <v>64</v>
      </c>
      <c r="B65" s="4">
        <v>45412</v>
      </c>
      <c r="C65">
        <v>18</v>
      </c>
      <c r="D65">
        <v>11</v>
      </c>
      <c r="E65">
        <v>2</v>
      </c>
      <c r="F65" s="6">
        <v>0.1</v>
      </c>
      <c r="G65" t="s">
        <v>128</v>
      </c>
    </row>
    <row r="66" spans="1:7">
      <c r="A66">
        <v>65</v>
      </c>
      <c r="B66" s="4">
        <v>45362</v>
      </c>
      <c r="C66">
        <v>10</v>
      </c>
      <c r="D66">
        <v>8</v>
      </c>
      <c r="E66">
        <v>2</v>
      </c>
      <c r="F66" s="6">
        <v>0</v>
      </c>
      <c r="G66" t="s">
        <v>127</v>
      </c>
    </row>
    <row r="67" spans="1:7">
      <c r="A67">
        <v>66</v>
      </c>
      <c r="B67" s="4">
        <v>45401</v>
      </c>
      <c r="C67">
        <v>5</v>
      </c>
      <c r="D67">
        <v>14</v>
      </c>
      <c r="E67">
        <v>2</v>
      </c>
      <c r="F67" s="6">
        <v>0.1</v>
      </c>
      <c r="G67" t="s">
        <v>33</v>
      </c>
    </row>
    <row r="68" spans="1:7">
      <c r="A68">
        <v>67</v>
      </c>
      <c r="B68" s="4">
        <v>45504</v>
      </c>
      <c r="C68">
        <v>4</v>
      </c>
      <c r="D68">
        <v>7</v>
      </c>
      <c r="E68">
        <v>5</v>
      </c>
      <c r="F68" s="6">
        <v>0.05</v>
      </c>
      <c r="G68" t="s">
        <v>127</v>
      </c>
    </row>
    <row r="69" spans="1:7">
      <c r="A69">
        <v>68</v>
      </c>
      <c r="B69" s="4">
        <v>45648</v>
      </c>
      <c r="C69">
        <v>2</v>
      </c>
      <c r="D69">
        <v>19</v>
      </c>
      <c r="E69">
        <v>2</v>
      </c>
      <c r="F69" s="6">
        <v>0</v>
      </c>
      <c r="G69" t="s">
        <v>33</v>
      </c>
    </row>
    <row r="70" spans="1:7">
      <c r="A70">
        <v>69</v>
      </c>
      <c r="B70" s="4">
        <v>45444</v>
      </c>
      <c r="C70">
        <v>25</v>
      </c>
      <c r="D70">
        <v>14</v>
      </c>
      <c r="E70">
        <v>3</v>
      </c>
      <c r="F70" s="6">
        <v>0.15</v>
      </c>
      <c r="G70" t="s">
        <v>127</v>
      </c>
    </row>
    <row r="71" spans="1:7">
      <c r="A71">
        <v>70</v>
      </c>
      <c r="B71" s="4">
        <v>45600</v>
      </c>
      <c r="C71">
        <v>15</v>
      </c>
      <c r="D71">
        <v>16</v>
      </c>
      <c r="E71">
        <v>2</v>
      </c>
      <c r="F71" s="6">
        <v>0.05</v>
      </c>
      <c r="G71" t="s">
        <v>33</v>
      </c>
    </row>
    <row r="72" spans="1:7">
      <c r="A72">
        <v>71</v>
      </c>
      <c r="B72" s="4">
        <v>45306</v>
      </c>
      <c r="C72">
        <v>25</v>
      </c>
      <c r="D72">
        <v>11</v>
      </c>
      <c r="E72">
        <v>4</v>
      </c>
      <c r="F72" s="6">
        <v>0.05</v>
      </c>
      <c r="G72" t="s">
        <v>127</v>
      </c>
    </row>
    <row r="73" spans="1:7">
      <c r="A73">
        <v>72</v>
      </c>
      <c r="B73" s="4">
        <v>45376</v>
      </c>
      <c r="C73">
        <v>30</v>
      </c>
      <c r="D73">
        <v>5</v>
      </c>
      <c r="E73">
        <v>12</v>
      </c>
      <c r="F73" s="6">
        <v>0.1</v>
      </c>
      <c r="G73" t="s">
        <v>128</v>
      </c>
    </row>
    <row r="74" spans="1:7">
      <c r="A74">
        <v>73</v>
      </c>
      <c r="B74" s="4">
        <v>45493</v>
      </c>
      <c r="C74">
        <v>38</v>
      </c>
      <c r="D74">
        <v>19</v>
      </c>
      <c r="E74">
        <v>4</v>
      </c>
      <c r="F74" s="6">
        <v>0</v>
      </c>
      <c r="G74" t="s">
        <v>127</v>
      </c>
    </row>
    <row r="75" spans="1:7">
      <c r="A75">
        <v>74</v>
      </c>
      <c r="B75" s="4">
        <v>45511</v>
      </c>
      <c r="C75">
        <v>9</v>
      </c>
      <c r="D75">
        <v>15</v>
      </c>
      <c r="E75">
        <v>1</v>
      </c>
      <c r="F75" s="6">
        <v>0</v>
      </c>
      <c r="G75" t="s">
        <v>33</v>
      </c>
    </row>
    <row r="76" spans="1:7">
      <c r="A76">
        <v>75</v>
      </c>
      <c r="B76" s="4">
        <v>45459</v>
      </c>
      <c r="C76">
        <v>14</v>
      </c>
      <c r="D76">
        <v>15</v>
      </c>
      <c r="E76">
        <v>2</v>
      </c>
      <c r="F76" s="6">
        <v>0.05</v>
      </c>
      <c r="G76" t="s">
        <v>33</v>
      </c>
    </row>
    <row r="77" spans="1:7">
      <c r="A77">
        <v>76</v>
      </c>
      <c r="B77" s="4">
        <v>45507</v>
      </c>
      <c r="C77">
        <v>17</v>
      </c>
      <c r="D77">
        <v>3</v>
      </c>
      <c r="E77">
        <v>3</v>
      </c>
      <c r="F77" s="6">
        <v>0.15</v>
      </c>
      <c r="G77" t="s">
        <v>127</v>
      </c>
    </row>
    <row r="78" spans="1:7">
      <c r="A78">
        <v>77</v>
      </c>
      <c r="B78" s="4">
        <v>45318</v>
      </c>
      <c r="C78">
        <v>23</v>
      </c>
      <c r="D78">
        <v>8</v>
      </c>
      <c r="E78">
        <v>4</v>
      </c>
      <c r="F78" s="6">
        <v>0.15</v>
      </c>
      <c r="G78" t="s">
        <v>128</v>
      </c>
    </row>
    <row r="79" spans="1:7">
      <c r="A79">
        <v>78</v>
      </c>
      <c r="B79" s="4">
        <v>45307</v>
      </c>
      <c r="C79">
        <v>16</v>
      </c>
      <c r="D79">
        <v>7</v>
      </c>
      <c r="E79">
        <v>5</v>
      </c>
      <c r="F79" s="6">
        <v>0.1</v>
      </c>
      <c r="G79" t="s">
        <v>128</v>
      </c>
    </row>
    <row r="80" spans="1:7">
      <c r="A80">
        <v>79</v>
      </c>
      <c r="B80" s="4">
        <v>45414</v>
      </c>
      <c r="C80">
        <v>9</v>
      </c>
      <c r="D80">
        <v>16</v>
      </c>
      <c r="E80">
        <v>4</v>
      </c>
      <c r="F80" s="6">
        <v>0.1</v>
      </c>
      <c r="G80" t="s">
        <v>128</v>
      </c>
    </row>
    <row r="81" spans="1:7">
      <c r="A81">
        <v>80</v>
      </c>
      <c r="B81" s="4">
        <v>45530</v>
      </c>
      <c r="C81">
        <v>17</v>
      </c>
      <c r="D81">
        <v>12</v>
      </c>
      <c r="E81">
        <v>1</v>
      </c>
      <c r="F81" s="6">
        <v>0.1</v>
      </c>
      <c r="G81" t="s">
        <v>127</v>
      </c>
    </row>
    <row r="82" spans="1:7">
      <c r="A82">
        <v>81</v>
      </c>
      <c r="B82" s="4">
        <v>45350</v>
      </c>
      <c r="C82">
        <v>11</v>
      </c>
      <c r="D82">
        <v>10</v>
      </c>
      <c r="E82">
        <v>1</v>
      </c>
      <c r="F82" s="6">
        <v>0</v>
      </c>
      <c r="G82" t="s">
        <v>33</v>
      </c>
    </row>
    <row r="83" spans="1:7">
      <c r="A83">
        <v>82</v>
      </c>
      <c r="B83" s="4">
        <v>45586</v>
      </c>
      <c r="C83">
        <v>25</v>
      </c>
      <c r="D83">
        <v>13</v>
      </c>
      <c r="E83">
        <v>8</v>
      </c>
      <c r="F83" s="6">
        <v>0</v>
      </c>
      <c r="G83" t="s">
        <v>128</v>
      </c>
    </row>
    <row r="84" spans="1:7">
      <c r="A84">
        <v>83</v>
      </c>
      <c r="B84" s="4">
        <v>45595</v>
      </c>
      <c r="C84">
        <v>16</v>
      </c>
      <c r="D84">
        <v>4</v>
      </c>
      <c r="E84">
        <v>4</v>
      </c>
      <c r="F84" s="6">
        <v>0</v>
      </c>
      <c r="G84" t="s">
        <v>127</v>
      </c>
    </row>
    <row r="85" spans="1:7">
      <c r="A85">
        <v>84</v>
      </c>
      <c r="B85" s="4">
        <v>45599</v>
      </c>
      <c r="C85">
        <v>8</v>
      </c>
      <c r="D85">
        <v>19</v>
      </c>
      <c r="E85">
        <v>5</v>
      </c>
      <c r="F85" s="6">
        <v>0</v>
      </c>
      <c r="G85" t="s">
        <v>127</v>
      </c>
    </row>
    <row r="86" spans="1:7">
      <c r="A86">
        <v>85</v>
      </c>
      <c r="B86" s="4">
        <v>45511</v>
      </c>
      <c r="C86">
        <v>24</v>
      </c>
      <c r="D86">
        <v>3</v>
      </c>
      <c r="E86">
        <v>3</v>
      </c>
      <c r="F86" s="6">
        <v>0</v>
      </c>
      <c r="G86" t="s">
        <v>128</v>
      </c>
    </row>
    <row r="87" spans="1:7">
      <c r="A87">
        <v>86</v>
      </c>
      <c r="B87" s="4">
        <v>45507</v>
      </c>
      <c r="C87">
        <v>32</v>
      </c>
      <c r="D87">
        <v>4</v>
      </c>
      <c r="E87">
        <v>3</v>
      </c>
      <c r="F87" s="6">
        <v>0</v>
      </c>
      <c r="G87" t="s">
        <v>127</v>
      </c>
    </row>
    <row r="88" spans="1:7">
      <c r="A88">
        <v>87</v>
      </c>
      <c r="B88" s="4">
        <v>45527</v>
      </c>
      <c r="C88">
        <v>10</v>
      </c>
      <c r="D88">
        <v>14</v>
      </c>
      <c r="E88">
        <v>1</v>
      </c>
      <c r="F88" s="6">
        <v>0.1</v>
      </c>
      <c r="G88" t="s">
        <v>127</v>
      </c>
    </row>
    <row r="89" spans="1:7">
      <c r="A89">
        <v>88</v>
      </c>
      <c r="B89" s="4">
        <v>45430</v>
      </c>
      <c r="C89">
        <v>40</v>
      </c>
      <c r="D89">
        <v>18</v>
      </c>
      <c r="E89">
        <v>5</v>
      </c>
      <c r="F89" s="6">
        <v>0.05</v>
      </c>
      <c r="G89" t="s">
        <v>33</v>
      </c>
    </row>
    <row r="90" spans="1:7">
      <c r="A90">
        <v>89</v>
      </c>
      <c r="B90" s="4">
        <v>45595</v>
      </c>
      <c r="C90">
        <v>18</v>
      </c>
      <c r="D90">
        <v>11</v>
      </c>
      <c r="E90">
        <v>6</v>
      </c>
      <c r="F90" s="6">
        <v>0</v>
      </c>
      <c r="G90" t="s">
        <v>33</v>
      </c>
    </row>
    <row r="91" spans="1:7">
      <c r="A91">
        <v>90</v>
      </c>
      <c r="B91" s="4">
        <v>45522</v>
      </c>
      <c r="C91">
        <v>16</v>
      </c>
      <c r="D91">
        <v>15</v>
      </c>
      <c r="E91">
        <v>3</v>
      </c>
      <c r="F91" s="6">
        <v>0.15</v>
      </c>
      <c r="G91" t="s">
        <v>33</v>
      </c>
    </row>
    <row r="92" spans="1:7">
      <c r="A92">
        <v>91</v>
      </c>
      <c r="B92" s="4">
        <v>45464</v>
      </c>
      <c r="C92">
        <v>2</v>
      </c>
      <c r="D92">
        <v>16</v>
      </c>
      <c r="E92">
        <v>6</v>
      </c>
      <c r="F92" s="6">
        <v>0</v>
      </c>
      <c r="G92" t="s">
        <v>33</v>
      </c>
    </row>
    <row r="93" spans="1:7">
      <c r="A93">
        <v>92</v>
      </c>
      <c r="B93" s="4">
        <v>45400</v>
      </c>
      <c r="C93">
        <v>23</v>
      </c>
      <c r="D93">
        <v>9</v>
      </c>
      <c r="E93">
        <v>2</v>
      </c>
      <c r="F93" s="6">
        <v>0.1</v>
      </c>
      <c r="G93" t="s">
        <v>127</v>
      </c>
    </row>
    <row r="94" spans="1:7">
      <c r="A94">
        <v>93</v>
      </c>
      <c r="B94" s="4">
        <v>45433</v>
      </c>
      <c r="C94">
        <v>36</v>
      </c>
      <c r="D94">
        <v>1</v>
      </c>
      <c r="E94">
        <v>3</v>
      </c>
      <c r="F94" s="6">
        <v>0</v>
      </c>
      <c r="G94" t="s">
        <v>128</v>
      </c>
    </row>
    <row r="95" spans="1:7">
      <c r="A95">
        <v>94</v>
      </c>
      <c r="B95" s="4">
        <v>45415</v>
      </c>
      <c r="C95">
        <v>27</v>
      </c>
      <c r="D95">
        <v>16</v>
      </c>
      <c r="E95">
        <v>3</v>
      </c>
      <c r="F95" s="6">
        <v>0</v>
      </c>
      <c r="G95" t="s">
        <v>127</v>
      </c>
    </row>
    <row r="96" spans="1:7">
      <c r="A96">
        <v>95</v>
      </c>
      <c r="B96" s="4">
        <v>45535</v>
      </c>
      <c r="C96">
        <v>32</v>
      </c>
      <c r="D96">
        <v>15</v>
      </c>
      <c r="E96">
        <v>5</v>
      </c>
      <c r="F96" s="6">
        <v>0</v>
      </c>
      <c r="G96" t="s">
        <v>33</v>
      </c>
    </row>
    <row r="97" spans="1:7">
      <c r="A97">
        <v>96</v>
      </c>
      <c r="B97" s="4">
        <v>45405</v>
      </c>
      <c r="C97">
        <v>26</v>
      </c>
      <c r="D97">
        <v>8</v>
      </c>
      <c r="E97">
        <v>2</v>
      </c>
      <c r="F97" s="6">
        <v>0.1</v>
      </c>
      <c r="G97" t="s">
        <v>33</v>
      </c>
    </row>
    <row r="98" spans="1:7">
      <c r="A98">
        <v>97</v>
      </c>
      <c r="B98" s="4">
        <v>45534</v>
      </c>
      <c r="C98">
        <v>36</v>
      </c>
      <c r="D98">
        <v>17</v>
      </c>
      <c r="E98">
        <v>2</v>
      </c>
      <c r="F98" s="6">
        <v>0.15</v>
      </c>
      <c r="G98" t="s">
        <v>127</v>
      </c>
    </row>
    <row r="99" spans="1:7">
      <c r="A99">
        <v>98</v>
      </c>
      <c r="B99" s="4">
        <v>45461</v>
      </c>
      <c r="C99">
        <v>23</v>
      </c>
      <c r="D99">
        <v>15</v>
      </c>
      <c r="E99">
        <v>2</v>
      </c>
      <c r="F99" s="6">
        <v>0</v>
      </c>
      <c r="G99" t="s">
        <v>128</v>
      </c>
    </row>
    <row r="100" spans="1:7">
      <c r="A100">
        <v>99</v>
      </c>
      <c r="B100" s="4">
        <v>45353</v>
      </c>
      <c r="C100">
        <v>13</v>
      </c>
      <c r="D100">
        <v>11</v>
      </c>
      <c r="E100">
        <v>1</v>
      </c>
      <c r="F100" s="6">
        <v>0.1</v>
      </c>
      <c r="G100" t="s">
        <v>127</v>
      </c>
    </row>
    <row r="101" spans="1:7">
      <c r="A101">
        <v>100</v>
      </c>
      <c r="B101" s="4">
        <v>45386</v>
      </c>
      <c r="C101">
        <v>13</v>
      </c>
      <c r="D101">
        <v>7</v>
      </c>
      <c r="E101">
        <v>4</v>
      </c>
      <c r="F101" s="6">
        <v>0</v>
      </c>
      <c r="G101" t="s">
        <v>127</v>
      </c>
    </row>
    <row r="102" spans="1:7">
      <c r="A102">
        <v>101</v>
      </c>
      <c r="B102" s="4">
        <v>45593</v>
      </c>
      <c r="C102">
        <v>34</v>
      </c>
      <c r="D102">
        <v>20</v>
      </c>
      <c r="E102">
        <v>2</v>
      </c>
      <c r="F102" s="6">
        <v>0</v>
      </c>
      <c r="G102" t="s">
        <v>128</v>
      </c>
    </row>
    <row r="103" spans="1:7">
      <c r="A103">
        <v>102</v>
      </c>
      <c r="B103" s="4">
        <v>45443</v>
      </c>
      <c r="C103">
        <v>15</v>
      </c>
      <c r="D103">
        <v>12</v>
      </c>
      <c r="E103">
        <v>1</v>
      </c>
      <c r="F103" s="6">
        <v>0</v>
      </c>
      <c r="G103" t="s">
        <v>127</v>
      </c>
    </row>
    <row r="104" spans="1:7">
      <c r="A104">
        <v>103</v>
      </c>
      <c r="B104" s="4">
        <v>45565</v>
      </c>
      <c r="C104">
        <v>9</v>
      </c>
      <c r="D104">
        <v>9</v>
      </c>
      <c r="E104">
        <v>1</v>
      </c>
      <c r="F104" s="6">
        <v>0</v>
      </c>
      <c r="G104" t="s">
        <v>127</v>
      </c>
    </row>
    <row r="105" spans="1:7">
      <c r="A105">
        <v>104</v>
      </c>
      <c r="B105" s="4">
        <v>45441</v>
      </c>
      <c r="C105">
        <v>9</v>
      </c>
      <c r="D105">
        <v>16</v>
      </c>
      <c r="E105">
        <v>1</v>
      </c>
      <c r="F105" s="6">
        <v>0</v>
      </c>
      <c r="G105" t="s">
        <v>127</v>
      </c>
    </row>
    <row r="106" spans="1:7">
      <c r="A106">
        <v>105</v>
      </c>
      <c r="B106" s="4">
        <v>45437</v>
      </c>
      <c r="C106">
        <v>31</v>
      </c>
      <c r="D106">
        <v>16</v>
      </c>
      <c r="E106">
        <v>3</v>
      </c>
      <c r="F106" s="6">
        <v>0</v>
      </c>
      <c r="G106" t="s">
        <v>128</v>
      </c>
    </row>
    <row r="107" spans="1:7">
      <c r="A107">
        <v>106</v>
      </c>
      <c r="B107" s="4">
        <v>45421</v>
      </c>
      <c r="C107">
        <v>31</v>
      </c>
      <c r="D107">
        <v>4</v>
      </c>
      <c r="E107">
        <v>5</v>
      </c>
      <c r="F107" s="6">
        <v>0.05</v>
      </c>
      <c r="G107" t="s">
        <v>33</v>
      </c>
    </row>
    <row r="108" spans="1:7">
      <c r="A108">
        <v>107</v>
      </c>
      <c r="B108" s="4">
        <v>45329</v>
      </c>
      <c r="C108">
        <v>37</v>
      </c>
      <c r="D108">
        <v>2</v>
      </c>
      <c r="E108">
        <v>1</v>
      </c>
      <c r="F108" s="6">
        <v>0.1</v>
      </c>
      <c r="G108" t="s">
        <v>33</v>
      </c>
    </row>
    <row r="109" spans="1:7">
      <c r="A109">
        <v>108</v>
      </c>
      <c r="B109" s="4">
        <v>45335</v>
      </c>
      <c r="C109">
        <v>16</v>
      </c>
      <c r="D109">
        <v>4</v>
      </c>
      <c r="E109">
        <v>3</v>
      </c>
      <c r="F109" s="6">
        <v>0.05</v>
      </c>
      <c r="G109" t="s">
        <v>127</v>
      </c>
    </row>
    <row r="110" spans="1:7">
      <c r="A110">
        <v>109</v>
      </c>
      <c r="B110" s="4">
        <v>45597</v>
      </c>
      <c r="C110">
        <v>40</v>
      </c>
      <c r="D110">
        <v>8</v>
      </c>
      <c r="E110">
        <v>5</v>
      </c>
      <c r="F110" s="6">
        <v>0.05</v>
      </c>
      <c r="G110" t="s">
        <v>33</v>
      </c>
    </row>
    <row r="111" spans="1:7">
      <c r="A111">
        <v>110</v>
      </c>
      <c r="B111" s="4">
        <v>45518</v>
      </c>
      <c r="C111">
        <v>20</v>
      </c>
      <c r="D111">
        <v>19</v>
      </c>
      <c r="E111">
        <v>12</v>
      </c>
      <c r="F111" s="6">
        <v>0</v>
      </c>
      <c r="G111" t="s">
        <v>127</v>
      </c>
    </row>
    <row r="112" spans="1:7">
      <c r="A112">
        <v>111</v>
      </c>
      <c r="B112" s="4">
        <v>45609</v>
      </c>
      <c r="C112">
        <v>4</v>
      </c>
      <c r="D112">
        <v>20</v>
      </c>
      <c r="E112">
        <v>10</v>
      </c>
      <c r="F112" s="6">
        <v>0</v>
      </c>
      <c r="G112" t="s">
        <v>128</v>
      </c>
    </row>
    <row r="113" spans="1:7">
      <c r="A113">
        <v>112</v>
      </c>
      <c r="B113" s="4">
        <v>45612</v>
      </c>
      <c r="C113">
        <v>14</v>
      </c>
      <c r="D113">
        <v>9</v>
      </c>
      <c r="E113">
        <v>4</v>
      </c>
      <c r="F113" s="6">
        <v>0</v>
      </c>
      <c r="G113" t="s">
        <v>128</v>
      </c>
    </row>
    <row r="114" spans="1:7">
      <c r="A114">
        <v>113</v>
      </c>
      <c r="B114" s="4">
        <v>45380</v>
      </c>
      <c r="C114">
        <v>36</v>
      </c>
      <c r="D114">
        <v>3</v>
      </c>
      <c r="E114">
        <v>1</v>
      </c>
      <c r="F114" s="6">
        <v>0.05</v>
      </c>
      <c r="G114" t="s">
        <v>33</v>
      </c>
    </row>
    <row r="115" spans="1:7">
      <c r="A115">
        <v>114</v>
      </c>
      <c r="B115" s="4">
        <v>45644</v>
      </c>
      <c r="C115">
        <v>39</v>
      </c>
      <c r="D115">
        <v>16</v>
      </c>
      <c r="E115">
        <v>2</v>
      </c>
      <c r="F115" s="6">
        <v>0</v>
      </c>
      <c r="G115" t="s">
        <v>33</v>
      </c>
    </row>
    <row r="116" spans="1:7">
      <c r="A116">
        <v>115</v>
      </c>
      <c r="B116" s="4">
        <v>45653</v>
      </c>
      <c r="C116">
        <v>19</v>
      </c>
      <c r="D116">
        <v>15</v>
      </c>
      <c r="E116">
        <v>1</v>
      </c>
      <c r="F116" s="6">
        <v>0</v>
      </c>
      <c r="G116" t="s">
        <v>33</v>
      </c>
    </row>
    <row r="117" spans="1:7">
      <c r="A117">
        <v>116</v>
      </c>
      <c r="B117" s="4">
        <v>45612</v>
      </c>
      <c r="C117">
        <v>38</v>
      </c>
      <c r="D117">
        <v>7</v>
      </c>
      <c r="E117">
        <v>3</v>
      </c>
      <c r="F117" s="6">
        <v>0.1</v>
      </c>
      <c r="G117" t="s">
        <v>128</v>
      </c>
    </row>
    <row r="118" spans="1:7">
      <c r="A118">
        <v>117</v>
      </c>
      <c r="B118" s="4">
        <v>45623</v>
      </c>
      <c r="C118">
        <v>10</v>
      </c>
      <c r="D118">
        <v>9</v>
      </c>
      <c r="E118">
        <v>5</v>
      </c>
      <c r="F118" s="6">
        <v>0</v>
      </c>
      <c r="G118" t="s">
        <v>128</v>
      </c>
    </row>
    <row r="119" spans="1:7">
      <c r="A119">
        <v>118</v>
      </c>
      <c r="B119" s="4">
        <v>45376</v>
      </c>
      <c r="C119">
        <v>20</v>
      </c>
      <c r="D119">
        <v>20</v>
      </c>
      <c r="E119">
        <v>4</v>
      </c>
      <c r="F119" s="6">
        <v>0.1</v>
      </c>
      <c r="G119" t="s">
        <v>33</v>
      </c>
    </row>
    <row r="120" spans="1:7">
      <c r="A120">
        <v>119</v>
      </c>
      <c r="B120" s="4">
        <v>45516</v>
      </c>
      <c r="C120">
        <v>8</v>
      </c>
      <c r="D120">
        <v>15</v>
      </c>
      <c r="E120">
        <v>4</v>
      </c>
      <c r="F120" s="6">
        <v>0.15</v>
      </c>
      <c r="G120" t="s">
        <v>33</v>
      </c>
    </row>
    <row r="121" spans="1:7">
      <c r="A121">
        <v>120</v>
      </c>
      <c r="B121" s="4">
        <v>45431</v>
      </c>
      <c r="C121">
        <v>33</v>
      </c>
      <c r="D121">
        <v>18</v>
      </c>
      <c r="E121">
        <v>3</v>
      </c>
      <c r="F121" s="6">
        <v>0</v>
      </c>
      <c r="G121" t="s">
        <v>127</v>
      </c>
    </row>
    <row r="122" spans="1:7">
      <c r="A122">
        <v>121</v>
      </c>
      <c r="B122" s="4">
        <v>45312</v>
      </c>
      <c r="C122">
        <v>28</v>
      </c>
      <c r="D122">
        <v>11</v>
      </c>
      <c r="E122">
        <v>3</v>
      </c>
      <c r="F122" s="6">
        <v>0</v>
      </c>
      <c r="G122" t="s">
        <v>128</v>
      </c>
    </row>
    <row r="123" spans="1:7">
      <c r="A123">
        <v>122</v>
      </c>
      <c r="B123" s="4">
        <v>45409</v>
      </c>
      <c r="C123">
        <v>37</v>
      </c>
      <c r="D123">
        <v>19</v>
      </c>
      <c r="E123">
        <v>10</v>
      </c>
      <c r="F123" s="6">
        <v>0.15</v>
      </c>
      <c r="G123" t="s">
        <v>33</v>
      </c>
    </row>
    <row r="124" spans="1:7">
      <c r="A124">
        <v>123</v>
      </c>
      <c r="B124" s="4">
        <v>45587</v>
      </c>
      <c r="C124">
        <v>3</v>
      </c>
      <c r="D124">
        <v>6</v>
      </c>
      <c r="E124">
        <v>3</v>
      </c>
      <c r="F124" s="6">
        <v>0.15</v>
      </c>
      <c r="G124" t="s">
        <v>33</v>
      </c>
    </row>
    <row r="125" spans="1:7">
      <c r="A125">
        <v>124</v>
      </c>
      <c r="B125" s="4">
        <v>45434</v>
      </c>
      <c r="C125">
        <v>12</v>
      </c>
      <c r="D125">
        <v>19</v>
      </c>
      <c r="E125">
        <v>3</v>
      </c>
      <c r="F125" s="6">
        <v>0.05</v>
      </c>
      <c r="G125" t="s">
        <v>128</v>
      </c>
    </row>
    <row r="126" spans="1:7">
      <c r="A126">
        <v>125</v>
      </c>
      <c r="B126" s="4">
        <v>45532</v>
      </c>
      <c r="C126">
        <v>23</v>
      </c>
      <c r="D126">
        <v>14</v>
      </c>
      <c r="E126">
        <v>2</v>
      </c>
      <c r="F126" s="6">
        <v>0.15</v>
      </c>
      <c r="G126" t="s">
        <v>128</v>
      </c>
    </row>
    <row r="127" spans="1:7">
      <c r="A127">
        <v>126</v>
      </c>
      <c r="B127" s="4">
        <v>45374</v>
      </c>
      <c r="C127">
        <v>22</v>
      </c>
      <c r="D127">
        <v>14</v>
      </c>
      <c r="E127">
        <v>4</v>
      </c>
      <c r="F127" s="6">
        <v>0</v>
      </c>
      <c r="G127" t="s">
        <v>127</v>
      </c>
    </row>
    <row r="128" spans="1:7">
      <c r="A128">
        <v>127</v>
      </c>
      <c r="B128" s="4">
        <v>45497</v>
      </c>
      <c r="C128">
        <v>36</v>
      </c>
      <c r="D128">
        <v>2</v>
      </c>
      <c r="E128">
        <v>3</v>
      </c>
      <c r="F128" s="6">
        <v>0</v>
      </c>
      <c r="G128" t="s">
        <v>33</v>
      </c>
    </row>
    <row r="129" spans="1:7">
      <c r="A129">
        <v>128</v>
      </c>
      <c r="B129" s="4">
        <v>45457</v>
      </c>
      <c r="C129">
        <v>8</v>
      </c>
      <c r="D129">
        <v>13</v>
      </c>
      <c r="E129">
        <v>6</v>
      </c>
      <c r="F129" s="6">
        <v>0</v>
      </c>
      <c r="G129" t="s">
        <v>127</v>
      </c>
    </row>
    <row r="130" spans="1:7">
      <c r="A130">
        <v>129</v>
      </c>
      <c r="B130" s="4">
        <v>45569</v>
      </c>
      <c r="C130">
        <v>30</v>
      </c>
      <c r="D130">
        <v>14</v>
      </c>
      <c r="E130">
        <v>1</v>
      </c>
      <c r="F130" s="6">
        <v>0.1</v>
      </c>
      <c r="G130" t="s">
        <v>33</v>
      </c>
    </row>
    <row r="131" spans="1:7">
      <c r="A131">
        <v>130</v>
      </c>
      <c r="B131" s="4">
        <v>45610</v>
      </c>
      <c r="C131">
        <v>32</v>
      </c>
      <c r="D131">
        <v>15</v>
      </c>
      <c r="E131">
        <v>5</v>
      </c>
      <c r="F131" s="6">
        <v>0</v>
      </c>
      <c r="G131" t="s">
        <v>33</v>
      </c>
    </row>
    <row r="132" spans="1:7">
      <c r="A132">
        <v>131</v>
      </c>
      <c r="B132" s="4">
        <v>45573</v>
      </c>
      <c r="C132">
        <v>9</v>
      </c>
      <c r="D132">
        <v>10</v>
      </c>
      <c r="E132">
        <v>3</v>
      </c>
      <c r="F132" s="6">
        <v>0.15</v>
      </c>
      <c r="G132" t="s">
        <v>33</v>
      </c>
    </row>
    <row r="133" spans="1:7">
      <c r="A133">
        <v>132</v>
      </c>
      <c r="B133" s="4">
        <v>45354</v>
      </c>
      <c r="C133">
        <v>2</v>
      </c>
      <c r="D133">
        <v>20</v>
      </c>
      <c r="E133">
        <v>5</v>
      </c>
      <c r="F133" s="6">
        <v>0.15</v>
      </c>
      <c r="G133" t="s">
        <v>128</v>
      </c>
    </row>
    <row r="134" spans="1:7">
      <c r="A134">
        <v>133</v>
      </c>
      <c r="B134" s="4">
        <v>45451</v>
      </c>
      <c r="C134">
        <v>36</v>
      </c>
      <c r="D134">
        <v>1</v>
      </c>
      <c r="E134">
        <v>3</v>
      </c>
      <c r="F134" s="6">
        <v>0</v>
      </c>
      <c r="G134" t="s">
        <v>128</v>
      </c>
    </row>
    <row r="135" spans="1:7">
      <c r="A135">
        <v>134</v>
      </c>
      <c r="B135" s="4">
        <v>45350</v>
      </c>
      <c r="C135">
        <v>30</v>
      </c>
      <c r="D135">
        <v>4</v>
      </c>
      <c r="E135">
        <v>4</v>
      </c>
      <c r="F135" s="6">
        <v>0</v>
      </c>
      <c r="G135" t="s">
        <v>33</v>
      </c>
    </row>
    <row r="136" spans="1:7">
      <c r="A136">
        <v>135</v>
      </c>
      <c r="B136" s="4">
        <v>45441</v>
      </c>
      <c r="C136">
        <v>33</v>
      </c>
      <c r="D136">
        <v>9</v>
      </c>
      <c r="E136">
        <v>2</v>
      </c>
      <c r="F136" s="6">
        <v>0.05</v>
      </c>
      <c r="G136" t="s">
        <v>33</v>
      </c>
    </row>
    <row r="137" spans="1:7">
      <c r="A137">
        <v>136</v>
      </c>
      <c r="B137" s="4">
        <v>45416</v>
      </c>
      <c r="C137">
        <v>30</v>
      </c>
      <c r="D137">
        <v>18</v>
      </c>
      <c r="E137">
        <v>1</v>
      </c>
      <c r="F137" s="6">
        <v>0</v>
      </c>
      <c r="G137" t="s">
        <v>127</v>
      </c>
    </row>
    <row r="138" spans="1:7">
      <c r="A138">
        <v>137</v>
      </c>
      <c r="B138" s="4">
        <v>45552</v>
      </c>
      <c r="C138">
        <v>9</v>
      </c>
      <c r="D138">
        <v>3</v>
      </c>
      <c r="E138">
        <v>2</v>
      </c>
      <c r="F138" s="6">
        <v>0.05</v>
      </c>
      <c r="G138" t="s">
        <v>33</v>
      </c>
    </row>
    <row r="139" spans="1:7">
      <c r="A139">
        <v>138</v>
      </c>
      <c r="B139" s="4">
        <v>45551</v>
      </c>
      <c r="C139">
        <v>18</v>
      </c>
      <c r="D139">
        <v>1</v>
      </c>
      <c r="E139">
        <v>2</v>
      </c>
      <c r="F139" s="6">
        <v>0</v>
      </c>
      <c r="G139" t="s">
        <v>127</v>
      </c>
    </row>
    <row r="140" spans="1:7">
      <c r="A140">
        <v>139</v>
      </c>
      <c r="B140" s="4">
        <v>45588</v>
      </c>
      <c r="C140">
        <v>32</v>
      </c>
      <c r="D140">
        <v>5</v>
      </c>
      <c r="E140">
        <v>3</v>
      </c>
      <c r="F140" s="6">
        <v>0.05</v>
      </c>
      <c r="G140" t="s">
        <v>33</v>
      </c>
    </row>
    <row r="141" spans="1:7">
      <c r="A141">
        <v>140</v>
      </c>
      <c r="B141" s="4">
        <v>45462</v>
      </c>
      <c r="C141">
        <v>36</v>
      </c>
      <c r="D141">
        <v>18</v>
      </c>
      <c r="E141">
        <v>2</v>
      </c>
      <c r="F141" s="6">
        <v>0</v>
      </c>
      <c r="G141" t="s">
        <v>128</v>
      </c>
    </row>
    <row r="142" spans="1:7">
      <c r="A142">
        <v>141</v>
      </c>
      <c r="B142" s="4">
        <v>45649</v>
      </c>
      <c r="C142">
        <v>16</v>
      </c>
      <c r="D142">
        <v>19</v>
      </c>
      <c r="E142">
        <v>2</v>
      </c>
      <c r="F142" s="6">
        <v>0.05</v>
      </c>
      <c r="G142" t="s">
        <v>128</v>
      </c>
    </row>
    <row r="143" spans="1:7">
      <c r="A143">
        <v>142</v>
      </c>
      <c r="B143" s="4">
        <v>45454</v>
      </c>
      <c r="C143">
        <v>31</v>
      </c>
      <c r="D143">
        <v>13</v>
      </c>
      <c r="E143">
        <v>2</v>
      </c>
      <c r="F143" s="6">
        <v>0.15</v>
      </c>
      <c r="G143" t="s">
        <v>127</v>
      </c>
    </row>
    <row r="144" spans="1:7">
      <c r="A144">
        <v>143</v>
      </c>
      <c r="B144" s="4">
        <v>45369</v>
      </c>
      <c r="C144">
        <v>32</v>
      </c>
      <c r="D144">
        <v>2</v>
      </c>
      <c r="E144">
        <v>1</v>
      </c>
      <c r="F144" s="6">
        <v>0.1</v>
      </c>
      <c r="G144" t="s">
        <v>33</v>
      </c>
    </row>
    <row r="145" spans="1:7">
      <c r="A145">
        <v>144</v>
      </c>
      <c r="B145" s="4">
        <v>45343</v>
      </c>
      <c r="C145">
        <v>29</v>
      </c>
      <c r="D145">
        <v>4</v>
      </c>
      <c r="E145">
        <v>3</v>
      </c>
      <c r="F145" s="6">
        <v>0.05</v>
      </c>
      <c r="G145" t="s">
        <v>128</v>
      </c>
    </row>
    <row r="146" spans="1:7">
      <c r="A146">
        <v>145</v>
      </c>
      <c r="B146" s="4">
        <v>45365</v>
      </c>
      <c r="C146">
        <v>27</v>
      </c>
      <c r="D146">
        <v>5</v>
      </c>
      <c r="E146">
        <v>1</v>
      </c>
      <c r="F146" s="6">
        <v>0</v>
      </c>
      <c r="G146" t="s">
        <v>33</v>
      </c>
    </row>
    <row r="147" spans="1:7">
      <c r="A147">
        <v>146</v>
      </c>
      <c r="B147" s="4">
        <v>45611</v>
      </c>
      <c r="C147">
        <v>26</v>
      </c>
      <c r="D147">
        <v>3</v>
      </c>
      <c r="E147">
        <v>6</v>
      </c>
      <c r="F147" s="6">
        <v>0.15</v>
      </c>
      <c r="G147" t="s">
        <v>127</v>
      </c>
    </row>
    <row r="148" spans="1:7">
      <c r="A148">
        <v>147</v>
      </c>
      <c r="B148" s="4">
        <v>45486</v>
      </c>
      <c r="C148">
        <v>21</v>
      </c>
      <c r="D148">
        <v>16</v>
      </c>
      <c r="E148">
        <v>6</v>
      </c>
      <c r="F148" s="6">
        <v>0</v>
      </c>
      <c r="G148" t="s">
        <v>127</v>
      </c>
    </row>
    <row r="149" spans="1:7">
      <c r="A149">
        <v>148</v>
      </c>
      <c r="B149" s="4">
        <v>45327</v>
      </c>
      <c r="C149">
        <v>16</v>
      </c>
      <c r="D149">
        <v>10</v>
      </c>
      <c r="E149">
        <v>15</v>
      </c>
      <c r="F149" s="6">
        <v>0.15</v>
      </c>
      <c r="G149" t="s">
        <v>128</v>
      </c>
    </row>
    <row r="150" spans="1:7">
      <c r="A150">
        <v>149</v>
      </c>
      <c r="B150" s="4">
        <v>45514</v>
      </c>
      <c r="C150">
        <v>7</v>
      </c>
      <c r="D150">
        <v>4</v>
      </c>
      <c r="E150">
        <v>3</v>
      </c>
      <c r="F150" s="6">
        <v>0.15</v>
      </c>
      <c r="G150" t="s">
        <v>33</v>
      </c>
    </row>
    <row r="151" spans="1:7">
      <c r="A151">
        <v>150</v>
      </c>
      <c r="B151" s="4">
        <v>45306</v>
      </c>
      <c r="C151">
        <v>3</v>
      </c>
      <c r="D151">
        <v>11</v>
      </c>
      <c r="E151">
        <v>5</v>
      </c>
      <c r="F151" s="6">
        <v>0</v>
      </c>
      <c r="G151" t="s">
        <v>33</v>
      </c>
    </row>
    <row r="152" spans="1:7">
      <c r="A152">
        <v>151</v>
      </c>
      <c r="B152" s="4">
        <v>45483</v>
      </c>
      <c r="C152">
        <v>28</v>
      </c>
      <c r="D152">
        <v>5</v>
      </c>
      <c r="E152">
        <v>2</v>
      </c>
      <c r="F152" s="6">
        <v>0.05</v>
      </c>
      <c r="G152" t="s">
        <v>127</v>
      </c>
    </row>
    <row r="153" spans="1:7">
      <c r="A153">
        <v>152</v>
      </c>
      <c r="B153" s="4">
        <v>45641</v>
      </c>
      <c r="C153">
        <v>12</v>
      </c>
      <c r="D153">
        <v>6</v>
      </c>
      <c r="E153">
        <v>1</v>
      </c>
      <c r="F153" s="6">
        <v>0.1</v>
      </c>
      <c r="G153" t="s">
        <v>33</v>
      </c>
    </row>
    <row r="154" spans="1:7">
      <c r="A154">
        <v>153</v>
      </c>
      <c r="B154" s="4">
        <v>45609</v>
      </c>
      <c r="C154">
        <v>16</v>
      </c>
      <c r="D154">
        <v>16</v>
      </c>
      <c r="E154">
        <v>8</v>
      </c>
      <c r="F154" s="6">
        <v>0</v>
      </c>
      <c r="G154" t="s">
        <v>128</v>
      </c>
    </row>
    <row r="155" spans="1:7">
      <c r="A155">
        <v>154</v>
      </c>
      <c r="B155" s="4">
        <v>45528</v>
      </c>
      <c r="C155">
        <v>17</v>
      </c>
      <c r="D155">
        <v>15</v>
      </c>
      <c r="E155">
        <v>2</v>
      </c>
      <c r="F155" s="6">
        <v>0</v>
      </c>
      <c r="G155" t="s">
        <v>33</v>
      </c>
    </row>
    <row r="156" spans="1:7">
      <c r="A156">
        <v>155</v>
      </c>
      <c r="B156" s="4">
        <v>45439</v>
      </c>
      <c r="C156">
        <v>35</v>
      </c>
      <c r="D156">
        <v>6</v>
      </c>
      <c r="E156">
        <v>1</v>
      </c>
      <c r="F156" s="6">
        <v>0</v>
      </c>
      <c r="G156" t="s">
        <v>127</v>
      </c>
    </row>
    <row r="157" spans="1:7">
      <c r="A157">
        <v>156</v>
      </c>
      <c r="B157" s="4">
        <v>45445</v>
      </c>
      <c r="C157">
        <v>28</v>
      </c>
      <c r="D157">
        <v>9</v>
      </c>
      <c r="E157">
        <v>3</v>
      </c>
      <c r="F157" s="6">
        <v>0</v>
      </c>
      <c r="G157" t="s">
        <v>128</v>
      </c>
    </row>
    <row r="158" spans="1:7">
      <c r="A158">
        <v>157</v>
      </c>
      <c r="B158" s="4">
        <v>45488</v>
      </c>
      <c r="C158">
        <v>31</v>
      </c>
      <c r="D158">
        <v>4</v>
      </c>
      <c r="E158">
        <v>2</v>
      </c>
      <c r="F158" s="6">
        <v>0.1</v>
      </c>
      <c r="G158" t="s">
        <v>33</v>
      </c>
    </row>
    <row r="159" spans="1:7">
      <c r="A159">
        <v>158</v>
      </c>
      <c r="B159" s="4">
        <v>45586</v>
      </c>
      <c r="C159">
        <v>19</v>
      </c>
      <c r="D159">
        <v>10</v>
      </c>
      <c r="E159">
        <v>1</v>
      </c>
      <c r="F159" s="6">
        <v>0.15</v>
      </c>
      <c r="G159" t="s">
        <v>33</v>
      </c>
    </row>
    <row r="160" spans="1:7">
      <c r="A160">
        <v>159</v>
      </c>
      <c r="B160" s="4">
        <v>45432</v>
      </c>
      <c r="C160">
        <v>1</v>
      </c>
      <c r="D160">
        <v>19</v>
      </c>
      <c r="E160">
        <v>6</v>
      </c>
      <c r="F160" s="6">
        <v>0.15</v>
      </c>
      <c r="G160" t="s">
        <v>128</v>
      </c>
    </row>
    <row r="161" spans="1:7">
      <c r="A161">
        <v>160</v>
      </c>
      <c r="B161" s="4">
        <v>45602</v>
      </c>
      <c r="C161">
        <v>32</v>
      </c>
      <c r="D161">
        <v>10</v>
      </c>
      <c r="E161">
        <v>5</v>
      </c>
      <c r="F161" s="6">
        <v>0</v>
      </c>
      <c r="G161" t="s">
        <v>127</v>
      </c>
    </row>
    <row r="162" spans="1:7">
      <c r="A162">
        <v>161</v>
      </c>
      <c r="B162" s="4">
        <v>45472</v>
      </c>
      <c r="C162">
        <v>15</v>
      </c>
      <c r="D162">
        <v>7</v>
      </c>
      <c r="E162">
        <v>4</v>
      </c>
      <c r="F162" s="6">
        <v>0.15</v>
      </c>
      <c r="G162" t="s">
        <v>127</v>
      </c>
    </row>
    <row r="163" spans="1:7">
      <c r="A163">
        <v>162</v>
      </c>
      <c r="B163" s="4">
        <v>45629</v>
      </c>
      <c r="C163">
        <v>9</v>
      </c>
      <c r="D163">
        <v>4</v>
      </c>
      <c r="E163">
        <v>6</v>
      </c>
      <c r="F163" s="6">
        <v>0.15</v>
      </c>
      <c r="G163" t="s">
        <v>128</v>
      </c>
    </row>
    <row r="164" spans="1:7">
      <c r="A164">
        <v>163</v>
      </c>
      <c r="B164" s="4">
        <v>45450</v>
      </c>
      <c r="C164">
        <v>29</v>
      </c>
      <c r="D164">
        <v>2</v>
      </c>
      <c r="E164">
        <v>3</v>
      </c>
      <c r="F164" s="6">
        <v>0.15</v>
      </c>
      <c r="G164" t="s">
        <v>128</v>
      </c>
    </row>
    <row r="165" spans="1:7">
      <c r="A165">
        <v>164</v>
      </c>
      <c r="B165" s="4">
        <v>45338</v>
      </c>
      <c r="C165">
        <v>19</v>
      </c>
      <c r="D165">
        <v>11</v>
      </c>
      <c r="E165">
        <v>4</v>
      </c>
      <c r="F165" s="6">
        <v>0</v>
      </c>
      <c r="G165" t="s">
        <v>128</v>
      </c>
    </row>
    <row r="166" spans="1:7">
      <c r="A166">
        <v>165</v>
      </c>
      <c r="B166" s="4">
        <v>45359</v>
      </c>
      <c r="C166">
        <v>35</v>
      </c>
      <c r="D166">
        <v>12</v>
      </c>
      <c r="E166">
        <v>3</v>
      </c>
      <c r="F166" s="6">
        <v>0</v>
      </c>
      <c r="G166" t="s">
        <v>128</v>
      </c>
    </row>
    <row r="167" spans="1:7">
      <c r="A167">
        <v>166</v>
      </c>
      <c r="B167" s="4">
        <v>45423</v>
      </c>
      <c r="C167">
        <v>31</v>
      </c>
      <c r="D167">
        <v>10</v>
      </c>
      <c r="E167">
        <v>4</v>
      </c>
      <c r="F167" s="6">
        <v>0</v>
      </c>
      <c r="G167" t="s">
        <v>128</v>
      </c>
    </row>
    <row r="168" spans="1:7">
      <c r="A168">
        <v>167</v>
      </c>
      <c r="B168" s="4">
        <v>45531</v>
      </c>
      <c r="C168">
        <v>5</v>
      </c>
      <c r="D168">
        <v>5</v>
      </c>
      <c r="E168">
        <v>4</v>
      </c>
      <c r="F168" s="6">
        <v>0</v>
      </c>
      <c r="G168" t="s">
        <v>127</v>
      </c>
    </row>
    <row r="169" spans="1:7">
      <c r="A169">
        <v>168</v>
      </c>
      <c r="B169" s="4">
        <v>45637</v>
      </c>
      <c r="C169">
        <v>26</v>
      </c>
      <c r="D169">
        <v>18</v>
      </c>
      <c r="E169">
        <v>2</v>
      </c>
      <c r="F169" s="6">
        <v>0.05</v>
      </c>
      <c r="G169" t="s">
        <v>128</v>
      </c>
    </row>
    <row r="170" spans="1:7">
      <c r="A170">
        <v>169</v>
      </c>
      <c r="B170" s="4">
        <v>45427</v>
      </c>
      <c r="C170">
        <v>35</v>
      </c>
      <c r="D170">
        <v>4</v>
      </c>
      <c r="E170">
        <v>3</v>
      </c>
      <c r="F170" s="6">
        <v>0.15</v>
      </c>
      <c r="G170" t="s">
        <v>127</v>
      </c>
    </row>
    <row r="171" spans="1:7">
      <c r="A171">
        <v>170</v>
      </c>
      <c r="B171" s="4">
        <v>45636</v>
      </c>
      <c r="C171">
        <v>17</v>
      </c>
      <c r="D171">
        <v>19</v>
      </c>
      <c r="E171">
        <v>2</v>
      </c>
      <c r="F171" s="6">
        <v>0.15</v>
      </c>
      <c r="G171" t="s">
        <v>33</v>
      </c>
    </row>
    <row r="172" spans="1:7">
      <c r="A172">
        <v>171</v>
      </c>
      <c r="B172" s="4">
        <v>45347</v>
      </c>
      <c r="C172">
        <v>15</v>
      </c>
      <c r="D172">
        <v>16</v>
      </c>
      <c r="E172">
        <v>1</v>
      </c>
      <c r="F172" s="6">
        <v>0.1</v>
      </c>
      <c r="G172" t="s">
        <v>33</v>
      </c>
    </row>
    <row r="173" spans="1:7">
      <c r="A173">
        <v>172</v>
      </c>
      <c r="B173" s="4">
        <v>45604</v>
      </c>
      <c r="C173">
        <v>15</v>
      </c>
      <c r="D173">
        <v>3</v>
      </c>
      <c r="E173">
        <v>4</v>
      </c>
      <c r="F173" s="6">
        <v>0.05</v>
      </c>
      <c r="G173" t="s">
        <v>127</v>
      </c>
    </row>
    <row r="174" spans="1:7">
      <c r="A174">
        <v>173</v>
      </c>
      <c r="B174" s="4">
        <v>45446</v>
      </c>
      <c r="C174">
        <v>27</v>
      </c>
      <c r="D174">
        <v>4</v>
      </c>
      <c r="E174">
        <v>1</v>
      </c>
      <c r="F174" s="6">
        <v>0</v>
      </c>
      <c r="G174" t="s">
        <v>33</v>
      </c>
    </row>
    <row r="175" spans="1:7">
      <c r="A175">
        <v>174</v>
      </c>
      <c r="B175" s="4">
        <v>45544</v>
      </c>
      <c r="C175">
        <v>8</v>
      </c>
      <c r="D175">
        <v>4</v>
      </c>
      <c r="E175">
        <v>2</v>
      </c>
      <c r="F175" s="6">
        <v>0.1</v>
      </c>
      <c r="G175" t="s">
        <v>128</v>
      </c>
    </row>
    <row r="176" spans="1:7">
      <c r="A176">
        <v>175</v>
      </c>
      <c r="B176" s="4">
        <v>45490</v>
      </c>
      <c r="C176">
        <v>30</v>
      </c>
      <c r="D176">
        <v>12</v>
      </c>
      <c r="E176">
        <v>4</v>
      </c>
      <c r="F176" s="6">
        <v>0.15</v>
      </c>
      <c r="G176" t="s">
        <v>127</v>
      </c>
    </row>
    <row r="177" spans="1:7">
      <c r="A177">
        <v>176</v>
      </c>
      <c r="B177" s="4">
        <v>45568</v>
      </c>
      <c r="C177">
        <v>27</v>
      </c>
      <c r="D177">
        <v>19</v>
      </c>
      <c r="E177">
        <v>4</v>
      </c>
      <c r="F177" s="6">
        <v>0</v>
      </c>
      <c r="G177" t="s">
        <v>33</v>
      </c>
    </row>
    <row r="178" spans="1:7">
      <c r="A178">
        <v>177</v>
      </c>
      <c r="B178" s="4">
        <v>45627</v>
      </c>
      <c r="C178">
        <v>7</v>
      </c>
      <c r="D178">
        <v>16</v>
      </c>
      <c r="E178">
        <v>4</v>
      </c>
      <c r="F178" s="6">
        <v>0</v>
      </c>
      <c r="G178" t="s">
        <v>128</v>
      </c>
    </row>
    <row r="179" spans="1:7">
      <c r="A179">
        <v>178</v>
      </c>
      <c r="B179" s="4">
        <v>45645</v>
      </c>
      <c r="C179">
        <v>24</v>
      </c>
      <c r="D179">
        <v>7</v>
      </c>
      <c r="E179">
        <v>3</v>
      </c>
      <c r="F179" s="6">
        <v>0</v>
      </c>
      <c r="G179" t="s">
        <v>33</v>
      </c>
    </row>
    <row r="180" spans="1:7">
      <c r="A180">
        <v>179</v>
      </c>
      <c r="B180" s="4">
        <v>45342</v>
      </c>
      <c r="C180">
        <v>24</v>
      </c>
      <c r="D180">
        <v>18</v>
      </c>
      <c r="E180">
        <v>6</v>
      </c>
      <c r="F180" s="6">
        <v>0.15</v>
      </c>
      <c r="G180" t="s">
        <v>33</v>
      </c>
    </row>
    <row r="181" spans="1:7">
      <c r="A181">
        <v>180</v>
      </c>
      <c r="B181" s="4">
        <v>45323</v>
      </c>
      <c r="C181">
        <v>26</v>
      </c>
      <c r="D181">
        <v>9</v>
      </c>
      <c r="E181">
        <v>2</v>
      </c>
      <c r="F181" s="6">
        <v>0</v>
      </c>
      <c r="G181" t="s">
        <v>33</v>
      </c>
    </row>
    <row r="182" spans="1:7">
      <c r="A182">
        <v>181</v>
      </c>
      <c r="B182" s="4">
        <v>45338</v>
      </c>
      <c r="C182">
        <v>14</v>
      </c>
      <c r="D182">
        <v>20</v>
      </c>
      <c r="E182">
        <v>10</v>
      </c>
      <c r="F182" s="6">
        <v>0</v>
      </c>
      <c r="G182" t="s">
        <v>33</v>
      </c>
    </row>
    <row r="183" spans="1:7">
      <c r="A183">
        <v>182</v>
      </c>
      <c r="B183" s="4">
        <v>45416</v>
      </c>
      <c r="C183">
        <v>9</v>
      </c>
      <c r="D183">
        <v>19</v>
      </c>
      <c r="E183">
        <v>2</v>
      </c>
      <c r="F183" s="6">
        <v>0.1</v>
      </c>
      <c r="G183" t="s">
        <v>128</v>
      </c>
    </row>
    <row r="184" spans="1:7">
      <c r="A184">
        <v>183</v>
      </c>
      <c r="B184" s="4">
        <v>45592</v>
      </c>
      <c r="C184">
        <v>14</v>
      </c>
      <c r="D184">
        <v>8</v>
      </c>
      <c r="E184">
        <v>2</v>
      </c>
      <c r="F184" s="6">
        <v>0</v>
      </c>
      <c r="G184" t="s">
        <v>127</v>
      </c>
    </row>
    <row r="185" spans="1:7">
      <c r="A185">
        <v>184</v>
      </c>
      <c r="B185" s="4">
        <v>45293</v>
      </c>
      <c r="C185">
        <v>18</v>
      </c>
      <c r="D185">
        <v>5</v>
      </c>
      <c r="E185">
        <v>12</v>
      </c>
      <c r="F185" s="6">
        <v>0.1</v>
      </c>
      <c r="G185" t="s">
        <v>33</v>
      </c>
    </row>
    <row r="186" spans="1:7">
      <c r="A186">
        <v>185</v>
      </c>
      <c r="B186" s="4">
        <v>45381</v>
      </c>
      <c r="C186">
        <v>8</v>
      </c>
      <c r="D186">
        <v>1</v>
      </c>
      <c r="E186">
        <v>1</v>
      </c>
      <c r="F186" s="6">
        <v>0</v>
      </c>
      <c r="G186" t="s">
        <v>128</v>
      </c>
    </row>
    <row r="187" spans="1:7">
      <c r="A187">
        <v>186</v>
      </c>
      <c r="B187" s="4">
        <v>45593</v>
      </c>
      <c r="C187">
        <v>21</v>
      </c>
      <c r="D187">
        <v>1</v>
      </c>
      <c r="E187">
        <v>1</v>
      </c>
      <c r="F187" s="6">
        <v>0</v>
      </c>
      <c r="G187" t="s">
        <v>128</v>
      </c>
    </row>
    <row r="188" spans="1:7">
      <c r="A188">
        <v>187</v>
      </c>
      <c r="B188" s="4">
        <v>45507</v>
      </c>
      <c r="C188">
        <v>34</v>
      </c>
      <c r="D188">
        <v>4</v>
      </c>
      <c r="E188">
        <v>4</v>
      </c>
      <c r="F188" s="6">
        <v>0.05</v>
      </c>
      <c r="G188" t="s">
        <v>33</v>
      </c>
    </row>
    <row r="189" spans="1:7">
      <c r="A189">
        <v>188</v>
      </c>
      <c r="B189" s="4">
        <v>45477</v>
      </c>
      <c r="C189">
        <v>33</v>
      </c>
      <c r="D189">
        <v>19</v>
      </c>
      <c r="E189">
        <v>1</v>
      </c>
      <c r="F189" s="6">
        <v>0.1</v>
      </c>
      <c r="G189" t="s">
        <v>128</v>
      </c>
    </row>
    <row r="190" spans="1:7">
      <c r="A190">
        <v>189</v>
      </c>
      <c r="B190" s="4">
        <v>45606</v>
      </c>
      <c r="C190">
        <v>3</v>
      </c>
      <c r="D190">
        <v>17</v>
      </c>
      <c r="E190">
        <v>2</v>
      </c>
      <c r="F190" s="6">
        <v>0.15</v>
      </c>
      <c r="G190" t="s">
        <v>128</v>
      </c>
    </row>
    <row r="191" spans="1:7">
      <c r="A191">
        <v>190</v>
      </c>
      <c r="B191" s="4">
        <v>45323</v>
      </c>
      <c r="C191">
        <v>31</v>
      </c>
      <c r="D191">
        <v>13</v>
      </c>
      <c r="E191">
        <v>3</v>
      </c>
      <c r="F191" s="6">
        <v>0</v>
      </c>
      <c r="G191" t="s">
        <v>33</v>
      </c>
    </row>
    <row r="192" spans="1:7">
      <c r="A192">
        <v>191</v>
      </c>
      <c r="B192" s="4">
        <v>45656</v>
      </c>
      <c r="C192">
        <v>29</v>
      </c>
      <c r="D192">
        <v>3</v>
      </c>
      <c r="E192">
        <v>6</v>
      </c>
      <c r="F192" s="6">
        <v>0</v>
      </c>
      <c r="G192" t="s">
        <v>127</v>
      </c>
    </row>
    <row r="193" spans="1:7">
      <c r="A193">
        <v>192</v>
      </c>
      <c r="B193" s="4">
        <v>45367</v>
      </c>
      <c r="C193">
        <v>5</v>
      </c>
      <c r="D193">
        <v>5</v>
      </c>
      <c r="E193">
        <v>2</v>
      </c>
      <c r="F193" s="6">
        <v>0.15</v>
      </c>
      <c r="G193" t="s">
        <v>127</v>
      </c>
    </row>
    <row r="194" spans="1:7">
      <c r="A194">
        <v>193</v>
      </c>
      <c r="B194" s="4">
        <v>45572</v>
      </c>
      <c r="C194">
        <v>21</v>
      </c>
      <c r="D194">
        <v>13</v>
      </c>
      <c r="E194">
        <v>15</v>
      </c>
      <c r="F194" s="6">
        <v>0.1</v>
      </c>
      <c r="G194" t="s">
        <v>33</v>
      </c>
    </row>
    <row r="195" spans="1:7">
      <c r="A195">
        <v>194</v>
      </c>
      <c r="B195" s="4">
        <v>45524</v>
      </c>
      <c r="C195">
        <v>33</v>
      </c>
      <c r="D195">
        <v>20</v>
      </c>
      <c r="E195">
        <v>3</v>
      </c>
      <c r="F195" s="6">
        <v>0.15</v>
      </c>
      <c r="G195" t="s">
        <v>128</v>
      </c>
    </row>
    <row r="196" spans="1:7">
      <c r="A196">
        <v>195</v>
      </c>
      <c r="B196" s="4">
        <v>45627</v>
      </c>
      <c r="C196">
        <v>36</v>
      </c>
      <c r="D196">
        <v>7</v>
      </c>
      <c r="E196">
        <v>3</v>
      </c>
      <c r="F196" s="6">
        <v>0</v>
      </c>
      <c r="G196" t="s">
        <v>33</v>
      </c>
    </row>
    <row r="197" spans="1:7">
      <c r="A197">
        <v>196</v>
      </c>
      <c r="B197" s="4">
        <v>45465</v>
      </c>
      <c r="C197">
        <v>30</v>
      </c>
      <c r="D197">
        <v>13</v>
      </c>
      <c r="E197">
        <v>2</v>
      </c>
      <c r="F197" s="6">
        <v>0</v>
      </c>
      <c r="G197" t="s">
        <v>33</v>
      </c>
    </row>
    <row r="198" spans="1:7">
      <c r="A198">
        <v>197</v>
      </c>
      <c r="B198" s="4">
        <v>45510</v>
      </c>
      <c r="C198">
        <v>21</v>
      </c>
      <c r="D198">
        <v>9</v>
      </c>
      <c r="E198">
        <v>2</v>
      </c>
      <c r="F198" s="6">
        <v>0</v>
      </c>
      <c r="G198" t="s">
        <v>127</v>
      </c>
    </row>
    <row r="199" spans="1:7">
      <c r="A199">
        <v>198</v>
      </c>
      <c r="B199" s="4">
        <v>45534</v>
      </c>
      <c r="C199">
        <v>5</v>
      </c>
      <c r="D199">
        <v>3</v>
      </c>
      <c r="E199">
        <v>5</v>
      </c>
      <c r="F199" s="6">
        <v>0</v>
      </c>
      <c r="G199" t="s">
        <v>33</v>
      </c>
    </row>
    <row r="200" spans="1:7">
      <c r="A200">
        <v>199</v>
      </c>
      <c r="B200" s="4">
        <v>45341</v>
      </c>
      <c r="C200">
        <v>24</v>
      </c>
      <c r="D200">
        <v>5</v>
      </c>
      <c r="E200">
        <v>3</v>
      </c>
      <c r="F200" s="6">
        <v>0.1</v>
      </c>
      <c r="G200" t="s">
        <v>127</v>
      </c>
    </row>
    <row r="201" spans="1:7">
      <c r="A201">
        <v>200</v>
      </c>
      <c r="B201" s="4">
        <v>45579</v>
      </c>
      <c r="C201">
        <v>22</v>
      </c>
      <c r="D201">
        <v>4</v>
      </c>
      <c r="E201">
        <v>2</v>
      </c>
      <c r="F201" s="6">
        <v>0.15</v>
      </c>
      <c r="G201" t="s">
        <v>33</v>
      </c>
    </row>
    <row r="202" spans="1:7">
      <c r="A202">
        <v>201</v>
      </c>
      <c r="B202" s="4">
        <v>45318</v>
      </c>
      <c r="C202">
        <v>19</v>
      </c>
      <c r="D202">
        <v>20</v>
      </c>
      <c r="E202">
        <v>2</v>
      </c>
      <c r="F202" s="6">
        <v>0</v>
      </c>
      <c r="G202" t="s">
        <v>127</v>
      </c>
    </row>
    <row r="203" spans="1:7">
      <c r="A203">
        <v>202</v>
      </c>
      <c r="B203" s="4">
        <v>45551</v>
      </c>
      <c r="C203">
        <v>14</v>
      </c>
      <c r="D203">
        <v>5</v>
      </c>
      <c r="E203">
        <v>4</v>
      </c>
      <c r="F203" s="6">
        <v>0</v>
      </c>
      <c r="G203" t="s">
        <v>128</v>
      </c>
    </row>
    <row r="204" spans="1:7">
      <c r="A204">
        <v>203</v>
      </c>
      <c r="B204" s="4">
        <v>45471</v>
      </c>
      <c r="C204">
        <v>36</v>
      </c>
      <c r="D204">
        <v>12</v>
      </c>
      <c r="E204">
        <v>1</v>
      </c>
      <c r="F204" s="6">
        <v>0</v>
      </c>
      <c r="G204" t="s">
        <v>127</v>
      </c>
    </row>
    <row r="205" spans="1:7">
      <c r="A205">
        <v>204</v>
      </c>
      <c r="B205" s="4">
        <v>45407</v>
      </c>
      <c r="C205">
        <v>28</v>
      </c>
      <c r="D205">
        <v>18</v>
      </c>
      <c r="E205">
        <v>12</v>
      </c>
      <c r="F205" s="6">
        <v>0.1</v>
      </c>
      <c r="G205" t="s">
        <v>127</v>
      </c>
    </row>
    <row r="206" spans="1:7">
      <c r="A206">
        <v>205</v>
      </c>
      <c r="B206" s="4">
        <v>45637</v>
      </c>
      <c r="C206">
        <v>36</v>
      </c>
      <c r="D206">
        <v>1</v>
      </c>
      <c r="E206">
        <v>3</v>
      </c>
      <c r="F206" s="6">
        <v>0.15</v>
      </c>
      <c r="G206" t="s">
        <v>127</v>
      </c>
    </row>
    <row r="207" spans="1:7">
      <c r="A207">
        <v>206</v>
      </c>
      <c r="B207" s="4">
        <v>45428</v>
      </c>
      <c r="C207">
        <v>2</v>
      </c>
      <c r="D207">
        <v>6</v>
      </c>
      <c r="E207">
        <v>2</v>
      </c>
      <c r="F207" s="6">
        <v>0</v>
      </c>
      <c r="G207" t="s">
        <v>33</v>
      </c>
    </row>
    <row r="208" spans="1:7">
      <c r="A208">
        <v>207</v>
      </c>
      <c r="B208" s="4">
        <v>45471</v>
      </c>
      <c r="C208">
        <v>1</v>
      </c>
      <c r="D208">
        <v>6</v>
      </c>
      <c r="E208">
        <v>6</v>
      </c>
      <c r="F208" s="6">
        <v>0.1</v>
      </c>
      <c r="G208" t="s">
        <v>127</v>
      </c>
    </row>
    <row r="209" spans="1:7">
      <c r="A209">
        <v>208</v>
      </c>
      <c r="B209" s="4">
        <v>45497</v>
      </c>
      <c r="C209">
        <v>5</v>
      </c>
      <c r="D209">
        <v>5</v>
      </c>
      <c r="E209">
        <v>4</v>
      </c>
      <c r="F209" s="6">
        <v>0</v>
      </c>
      <c r="G209" t="s">
        <v>128</v>
      </c>
    </row>
    <row r="210" spans="1:7">
      <c r="A210">
        <v>209</v>
      </c>
      <c r="B210" s="4">
        <v>45563</v>
      </c>
      <c r="C210">
        <v>14</v>
      </c>
      <c r="D210">
        <v>13</v>
      </c>
      <c r="E210">
        <v>2</v>
      </c>
      <c r="F210" s="6">
        <v>0</v>
      </c>
      <c r="G210" t="s">
        <v>128</v>
      </c>
    </row>
    <row r="211" spans="1:7">
      <c r="A211">
        <v>210</v>
      </c>
      <c r="B211" s="4">
        <v>45481</v>
      </c>
      <c r="C211">
        <v>20</v>
      </c>
      <c r="D211">
        <v>11</v>
      </c>
      <c r="E211">
        <v>5</v>
      </c>
      <c r="F211" s="6">
        <v>0.1</v>
      </c>
      <c r="G211" t="s">
        <v>127</v>
      </c>
    </row>
    <row r="212" spans="1:7">
      <c r="A212">
        <v>211</v>
      </c>
      <c r="B212" s="4">
        <v>45335</v>
      </c>
      <c r="C212">
        <v>4</v>
      </c>
      <c r="D212">
        <v>5</v>
      </c>
      <c r="E212">
        <v>1</v>
      </c>
      <c r="F212" s="6">
        <v>0.1</v>
      </c>
      <c r="G212" t="s">
        <v>128</v>
      </c>
    </row>
    <row r="213" spans="1:7">
      <c r="A213">
        <v>212</v>
      </c>
      <c r="B213" s="4">
        <v>45637</v>
      </c>
      <c r="C213">
        <v>6</v>
      </c>
      <c r="D213">
        <v>9</v>
      </c>
      <c r="E213">
        <v>3</v>
      </c>
      <c r="F213" s="6">
        <v>0.05</v>
      </c>
      <c r="G213" t="s">
        <v>33</v>
      </c>
    </row>
    <row r="214" spans="1:7">
      <c r="A214">
        <v>213</v>
      </c>
      <c r="B214" s="4">
        <v>45602</v>
      </c>
      <c r="C214">
        <v>29</v>
      </c>
      <c r="D214">
        <v>14</v>
      </c>
      <c r="E214">
        <v>2</v>
      </c>
      <c r="F214" s="6">
        <v>0.1</v>
      </c>
      <c r="G214" t="s">
        <v>128</v>
      </c>
    </row>
    <row r="215" spans="1:7">
      <c r="A215">
        <v>214</v>
      </c>
      <c r="B215" s="4">
        <v>45468</v>
      </c>
      <c r="C215">
        <v>28</v>
      </c>
      <c r="D215">
        <v>4</v>
      </c>
      <c r="E215">
        <v>2</v>
      </c>
      <c r="F215" s="6">
        <v>0.15</v>
      </c>
      <c r="G215" t="s">
        <v>127</v>
      </c>
    </row>
    <row r="216" spans="1:7">
      <c r="A216">
        <v>215</v>
      </c>
      <c r="B216" s="4">
        <v>45541</v>
      </c>
      <c r="C216">
        <v>34</v>
      </c>
      <c r="D216">
        <v>10</v>
      </c>
      <c r="E216">
        <v>1</v>
      </c>
      <c r="F216" s="6">
        <v>0.05</v>
      </c>
      <c r="G216" t="s">
        <v>127</v>
      </c>
    </row>
    <row r="217" spans="1:7">
      <c r="A217">
        <v>216</v>
      </c>
      <c r="B217" s="4">
        <v>45320</v>
      </c>
      <c r="C217">
        <v>1</v>
      </c>
      <c r="D217">
        <v>7</v>
      </c>
      <c r="E217">
        <v>2</v>
      </c>
      <c r="F217" s="6">
        <v>0</v>
      </c>
      <c r="G217" t="s">
        <v>128</v>
      </c>
    </row>
    <row r="218" spans="1:7">
      <c r="A218">
        <v>217</v>
      </c>
      <c r="B218" s="4">
        <v>45422</v>
      </c>
      <c r="C218">
        <v>19</v>
      </c>
      <c r="D218">
        <v>11</v>
      </c>
      <c r="E218">
        <v>1</v>
      </c>
      <c r="F218" s="6">
        <v>0.05</v>
      </c>
      <c r="G218" t="s">
        <v>127</v>
      </c>
    </row>
    <row r="219" spans="1:7">
      <c r="A219">
        <v>218</v>
      </c>
      <c r="B219" s="4">
        <v>45512</v>
      </c>
      <c r="C219">
        <v>12</v>
      </c>
      <c r="D219">
        <v>5</v>
      </c>
      <c r="E219">
        <v>2</v>
      </c>
      <c r="F219" s="6">
        <v>0.15</v>
      </c>
      <c r="G219" t="s">
        <v>128</v>
      </c>
    </row>
    <row r="220" spans="1:7">
      <c r="A220">
        <v>219</v>
      </c>
      <c r="B220" s="4">
        <v>45548</v>
      </c>
      <c r="C220">
        <v>36</v>
      </c>
      <c r="D220">
        <v>12</v>
      </c>
      <c r="E220">
        <v>1</v>
      </c>
      <c r="F220" s="6">
        <v>0.15</v>
      </c>
      <c r="G220" t="s">
        <v>128</v>
      </c>
    </row>
    <row r="221" spans="1:7">
      <c r="A221">
        <v>220</v>
      </c>
      <c r="B221" s="4">
        <v>45515</v>
      </c>
      <c r="C221">
        <v>2</v>
      </c>
      <c r="D221">
        <v>15</v>
      </c>
      <c r="E221">
        <v>8</v>
      </c>
      <c r="F221" s="6">
        <v>0</v>
      </c>
      <c r="G221" t="s">
        <v>127</v>
      </c>
    </row>
    <row r="222" spans="1:7">
      <c r="A222">
        <v>221</v>
      </c>
      <c r="B222" s="4">
        <v>45511</v>
      </c>
      <c r="C222">
        <v>37</v>
      </c>
      <c r="D222">
        <v>13</v>
      </c>
      <c r="E222">
        <v>4</v>
      </c>
      <c r="F222" s="6">
        <v>0.05</v>
      </c>
      <c r="G222" t="s">
        <v>33</v>
      </c>
    </row>
    <row r="223" spans="1:7">
      <c r="A223">
        <v>222</v>
      </c>
      <c r="B223" s="4">
        <v>45350</v>
      </c>
      <c r="C223">
        <v>26</v>
      </c>
      <c r="D223">
        <v>1</v>
      </c>
      <c r="E223">
        <v>10</v>
      </c>
      <c r="F223" s="6">
        <v>0</v>
      </c>
      <c r="G223" t="s">
        <v>127</v>
      </c>
    </row>
    <row r="224" spans="1:7">
      <c r="A224">
        <v>223</v>
      </c>
      <c r="B224" s="4">
        <v>45527</v>
      </c>
      <c r="C224">
        <v>24</v>
      </c>
      <c r="D224">
        <v>3</v>
      </c>
      <c r="E224">
        <v>3</v>
      </c>
      <c r="F224" s="6">
        <v>0</v>
      </c>
      <c r="G224" t="s">
        <v>128</v>
      </c>
    </row>
    <row r="225" spans="1:7">
      <c r="A225">
        <v>224</v>
      </c>
      <c r="B225" s="4">
        <v>45515</v>
      </c>
      <c r="C225">
        <v>38</v>
      </c>
      <c r="D225">
        <v>13</v>
      </c>
      <c r="E225">
        <v>3</v>
      </c>
      <c r="F225" s="6">
        <v>0.05</v>
      </c>
      <c r="G225" t="s">
        <v>33</v>
      </c>
    </row>
    <row r="226" spans="1:7">
      <c r="A226">
        <v>225</v>
      </c>
      <c r="B226" s="4">
        <v>45465</v>
      </c>
      <c r="C226">
        <v>15</v>
      </c>
      <c r="D226">
        <v>11</v>
      </c>
      <c r="E226">
        <v>5</v>
      </c>
      <c r="F226" s="6">
        <v>0</v>
      </c>
      <c r="G226" t="s">
        <v>127</v>
      </c>
    </row>
    <row r="227" spans="1:7">
      <c r="A227">
        <v>226</v>
      </c>
      <c r="B227" s="4">
        <v>45616</v>
      </c>
      <c r="C227">
        <v>8</v>
      </c>
      <c r="D227">
        <v>17</v>
      </c>
      <c r="E227">
        <v>3</v>
      </c>
      <c r="F227" s="6">
        <v>0</v>
      </c>
      <c r="G227" t="s">
        <v>33</v>
      </c>
    </row>
    <row r="228" spans="1:7">
      <c r="A228">
        <v>227</v>
      </c>
      <c r="B228" s="4">
        <v>45622</v>
      </c>
      <c r="C228">
        <v>10</v>
      </c>
      <c r="D228">
        <v>8</v>
      </c>
      <c r="E228">
        <v>1</v>
      </c>
      <c r="F228" s="6">
        <v>0</v>
      </c>
      <c r="G228" t="s">
        <v>128</v>
      </c>
    </row>
    <row r="229" spans="1:7">
      <c r="A229">
        <v>228</v>
      </c>
      <c r="B229" s="4">
        <v>45380</v>
      </c>
      <c r="C229">
        <v>39</v>
      </c>
      <c r="D229">
        <v>5</v>
      </c>
      <c r="E229">
        <v>5</v>
      </c>
      <c r="F229" s="6">
        <v>0.15</v>
      </c>
      <c r="G229" t="s">
        <v>128</v>
      </c>
    </row>
    <row r="230" spans="1:7">
      <c r="A230">
        <v>229</v>
      </c>
      <c r="B230" s="4">
        <v>45382</v>
      </c>
      <c r="C230">
        <v>32</v>
      </c>
      <c r="D230">
        <v>15</v>
      </c>
      <c r="E230">
        <v>4</v>
      </c>
      <c r="F230" s="6">
        <v>0.1</v>
      </c>
      <c r="G230" t="s">
        <v>33</v>
      </c>
    </row>
    <row r="231" spans="1:7">
      <c r="A231">
        <v>230</v>
      </c>
      <c r="B231" s="4">
        <v>45640</v>
      </c>
      <c r="C231">
        <v>37</v>
      </c>
      <c r="D231">
        <v>20</v>
      </c>
      <c r="E231">
        <v>2</v>
      </c>
      <c r="F231" s="6">
        <v>0.15</v>
      </c>
      <c r="G231" t="s">
        <v>33</v>
      </c>
    </row>
    <row r="232" spans="1:7">
      <c r="A232">
        <v>231</v>
      </c>
      <c r="B232" s="4">
        <v>45369</v>
      </c>
      <c r="C232">
        <v>29</v>
      </c>
      <c r="D232">
        <v>3</v>
      </c>
      <c r="E232">
        <v>3</v>
      </c>
      <c r="F232" s="6">
        <v>0.15</v>
      </c>
      <c r="G232" t="s">
        <v>33</v>
      </c>
    </row>
    <row r="233" spans="1:7">
      <c r="A233">
        <v>232</v>
      </c>
      <c r="B233" s="4">
        <v>45432</v>
      </c>
      <c r="C233">
        <v>38</v>
      </c>
      <c r="D233">
        <v>2</v>
      </c>
      <c r="E233">
        <v>2</v>
      </c>
      <c r="F233" s="6">
        <v>0</v>
      </c>
      <c r="G233" t="s">
        <v>33</v>
      </c>
    </row>
    <row r="234" spans="1:7">
      <c r="A234">
        <v>233</v>
      </c>
      <c r="B234" s="4">
        <v>45528</v>
      </c>
      <c r="C234">
        <v>29</v>
      </c>
      <c r="D234">
        <v>2</v>
      </c>
      <c r="E234">
        <v>1</v>
      </c>
      <c r="F234" s="6">
        <v>0</v>
      </c>
      <c r="G234" t="s">
        <v>128</v>
      </c>
    </row>
    <row r="235" spans="1:7">
      <c r="A235">
        <v>234</v>
      </c>
      <c r="B235" s="4">
        <v>45622</v>
      </c>
      <c r="C235">
        <v>6</v>
      </c>
      <c r="D235">
        <v>20</v>
      </c>
      <c r="E235">
        <v>3</v>
      </c>
      <c r="F235" s="6">
        <v>0.05</v>
      </c>
      <c r="G235" t="s">
        <v>33</v>
      </c>
    </row>
    <row r="236" spans="1:7">
      <c r="A236">
        <v>235</v>
      </c>
      <c r="B236" s="4">
        <v>45589</v>
      </c>
      <c r="C236">
        <v>36</v>
      </c>
      <c r="D236">
        <v>2</v>
      </c>
      <c r="E236">
        <v>3</v>
      </c>
      <c r="F236" s="6">
        <v>0.1</v>
      </c>
      <c r="G236" t="s">
        <v>127</v>
      </c>
    </row>
    <row r="237" spans="1:7">
      <c r="A237">
        <v>236</v>
      </c>
      <c r="B237" s="4">
        <v>45388</v>
      </c>
      <c r="C237">
        <v>21</v>
      </c>
      <c r="D237">
        <v>20</v>
      </c>
      <c r="E237">
        <v>3</v>
      </c>
      <c r="F237" s="6">
        <v>0</v>
      </c>
      <c r="G237" t="s">
        <v>128</v>
      </c>
    </row>
    <row r="238" spans="1:7">
      <c r="A238">
        <v>237</v>
      </c>
      <c r="B238" s="4">
        <v>45522</v>
      </c>
      <c r="C238">
        <v>7</v>
      </c>
      <c r="D238">
        <v>11</v>
      </c>
      <c r="E238">
        <v>12</v>
      </c>
      <c r="F238" s="6">
        <v>0</v>
      </c>
      <c r="G238" t="s">
        <v>127</v>
      </c>
    </row>
    <row r="239" spans="1:7">
      <c r="A239">
        <v>238</v>
      </c>
      <c r="B239" s="4">
        <v>45622</v>
      </c>
      <c r="C239">
        <v>12</v>
      </c>
      <c r="D239">
        <v>2</v>
      </c>
      <c r="E239">
        <v>2</v>
      </c>
      <c r="F239" s="6">
        <v>0.05</v>
      </c>
      <c r="G239" t="s">
        <v>33</v>
      </c>
    </row>
    <row r="240" spans="1:7">
      <c r="A240">
        <v>239</v>
      </c>
      <c r="B240" s="4">
        <v>45560</v>
      </c>
      <c r="C240">
        <v>34</v>
      </c>
      <c r="D240">
        <v>20</v>
      </c>
      <c r="E240">
        <v>1</v>
      </c>
      <c r="F240" s="6">
        <v>0</v>
      </c>
      <c r="G240" t="s">
        <v>33</v>
      </c>
    </row>
    <row r="241" spans="1:7">
      <c r="A241">
        <v>240</v>
      </c>
      <c r="B241" s="4">
        <v>45490</v>
      </c>
      <c r="C241">
        <v>27</v>
      </c>
      <c r="D241">
        <v>11</v>
      </c>
      <c r="E241">
        <v>4</v>
      </c>
      <c r="F241" s="6">
        <v>0</v>
      </c>
      <c r="G241" t="s">
        <v>127</v>
      </c>
    </row>
    <row r="242" spans="1:7">
      <c r="A242">
        <v>241</v>
      </c>
      <c r="B242" s="4">
        <v>45623</v>
      </c>
      <c r="C242">
        <v>22</v>
      </c>
      <c r="D242">
        <v>3</v>
      </c>
      <c r="E242">
        <v>2</v>
      </c>
      <c r="F242" s="6">
        <v>0.1</v>
      </c>
      <c r="G242" t="s">
        <v>127</v>
      </c>
    </row>
    <row r="243" spans="1:7">
      <c r="A243">
        <v>242</v>
      </c>
      <c r="B243" s="4">
        <v>45489</v>
      </c>
      <c r="C243">
        <v>19</v>
      </c>
      <c r="D243">
        <v>9</v>
      </c>
      <c r="E243">
        <v>4</v>
      </c>
      <c r="F243" s="6">
        <v>0.15</v>
      </c>
      <c r="G243" t="s">
        <v>127</v>
      </c>
    </row>
    <row r="244" spans="1:7">
      <c r="A244">
        <v>243</v>
      </c>
      <c r="B244" s="4">
        <v>45368</v>
      </c>
      <c r="C244">
        <v>22</v>
      </c>
      <c r="D244">
        <v>3</v>
      </c>
      <c r="E244">
        <v>3</v>
      </c>
      <c r="F244" s="6">
        <v>0</v>
      </c>
      <c r="G244" t="s">
        <v>33</v>
      </c>
    </row>
    <row r="245" spans="1:7">
      <c r="A245">
        <v>244</v>
      </c>
      <c r="B245" s="4">
        <v>45450</v>
      </c>
      <c r="C245">
        <v>26</v>
      </c>
      <c r="D245">
        <v>5</v>
      </c>
      <c r="E245">
        <v>3</v>
      </c>
      <c r="F245" s="6">
        <v>0</v>
      </c>
      <c r="G245" t="s">
        <v>33</v>
      </c>
    </row>
    <row r="246" spans="1:7">
      <c r="A246">
        <v>245</v>
      </c>
      <c r="B246" s="4">
        <v>45578</v>
      </c>
      <c r="C246">
        <v>25</v>
      </c>
      <c r="D246">
        <v>11</v>
      </c>
      <c r="E246">
        <v>5</v>
      </c>
      <c r="F246" s="6">
        <v>0.15</v>
      </c>
      <c r="G246" t="s">
        <v>127</v>
      </c>
    </row>
    <row r="247" spans="1:7">
      <c r="A247">
        <v>246</v>
      </c>
      <c r="B247" s="4">
        <v>45642</v>
      </c>
      <c r="C247">
        <v>34</v>
      </c>
      <c r="D247">
        <v>3</v>
      </c>
      <c r="E247">
        <v>4</v>
      </c>
      <c r="F247" s="6">
        <v>0.05</v>
      </c>
      <c r="G247" t="s">
        <v>127</v>
      </c>
    </row>
    <row r="248" spans="1:7">
      <c r="A248">
        <v>247</v>
      </c>
      <c r="B248" s="4">
        <v>45477</v>
      </c>
      <c r="C248">
        <v>2</v>
      </c>
      <c r="D248">
        <v>12</v>
      </c>
      <c r="E248">
        <v>2</v>
      </c>
      <c r="F248" s="6">
        <v>0</v>
      </c>
      <c r="G248" t="s">
        <v>33</v>
      </c>
    </row>
    <row r="249" spans="1:7">
      <c r="A249">
        <v>248</v>
      </c>
      <c r="B249" s="4">
        <v>45540</v>
      </c>
      <c r="C249">
        <v>13</v>
      </c>
      <c r="D249">
        <v>8</v>
      </c>
      <c r="E249">
        <v>15</v>
      </c>
      <c r="F249" s="6">
        <v>0</v>
      </c>
      <c r="G249" t="s">
        <v>128</v>
      </c>
    </row>
    <row r="250" spans="1:7">
      <c r="A250">
        <v>249</v>
      </c>
      <c r="B250" s="4">
        <v>45443</v>
      </c>
      <c r="C250">
        <v>7</v>
      </c>
      <c r="D250">
        <v>17</v>
      </c>
      <c r="E250">
        <v>5</v>
      </c>
      <c r="F250" s="6">
        <v>0.15</v>
      </c>
      <c r="G250" t="s">
        <v>127</v>
      </c>
    </row>
    <row r="251" spans="1:7">
      <c r="A251">
        <v>250</v>
      </c>
      <c r="B251" s="4">
        <v>45311</v>
      </c>
      <c r="C251">
        <v>22</v>
      </c>
      <c r="D251">
        <v>20</v>
      </c>
      <c r="E251">
        <v>1</v>
      </c>
      <c r="F251" s="6">
        <v>0.05</v>
      </c>
      <c r="G251" t="s">
        <v>128</v>
      </c>
    </row>
    <row r="252" spans="1:7">
      <c r="A252">
        <v>251</v>
      </c>
      <c r="B252" s="4">
        <v>45375</v>
      </c>
      <c r="C252">
        <v>12</v>
      </c>
      <c r="D252">
        <v>20</v>
      </c>
      <c r="E252">
        <v>5</v>
      </c>
      <c r="F252" s="6">
        <v>0</v>
      </c>
      <c r="G252" t="s">
        <v>127</v>
      </c>
    </row>
    <row r="253" spans="1:7">
      <c r="A253">
        <v>252</v>
      </c>
      <c r="B253" s="4">
        <v>45516</v>
      </c>
      <c r="C253">
        <v>3</v>
      </c>
      <c r="D253">
        <v>14</v>
      </c>
      <c r="E253">
        <v>2</v>
      </c>
      <c r="F253" s="6">
        <v>0.15</v>
      </c>
      <c r="G253" t="s">
        <v>128</v>
      </c>
    </row>
    <row r="254" spans="1:7">
      <c r="A254">
        <v>253</v>
      </c>
      <c r="B254" s="4">
        <v>45519</v>
      </c>
      <c r="C254">
        <v>40</v>
      </c>
      <c r="D254">
        <v>10</v>
      </c>
      <c r="E254">
        <v>4</v>
      </c>
      <c r="F254" s="6">
        <v>0.05</v>
      </c>
      <c r="G254" t="s">
        <v>128</v>
      </c>
    </row>
    <row r="255" spans="1:7">
      <c r="A255">
        <v>254</v>
      </c>
      <c r="B255" s="4">
        <v>45565</v>
      </c>
      <c r="C255">
        <v>16</v>
      </c>
      <c r="D255">
        <v>10</v>
      </c>
      <c r="E255">
        <v>10</v>
      </c>
      <c r="F255" s="6">
        <v>0.05</v>
      </c>
      <c r="G255" t="s">
        <v>128</v>
      </c>
    </row>
    <row r="256" spans="1:7">
      <c r="A256">
        <v>255</v>
      </c>
      <c r="B256" s="4">
        <v>45480</v>
      </c>
      <c r="C256">
        <v>37</v>
      </c>
      <c r="D256">
        <v>15</v>
      </c>
      <c r="E256">
        <v>3</v>
      </c>
      <c r="F256" s="6">
        <v>0</v>
      </c>
      <c r="G256" t="s">
        <v>33</v>
      </c>
    </row>
    <row r="257" spans="1:7">
      <c r="A257">
        <v>256</v>
      </c>
      <c r="B257" s="4">
        <v>45549</v>
      </c>
      <c r="C257">
        <v>34</v>
      </c>
      <c r="D257">
        <v>14</v>
      </c>
      <c r="E257">
        <v>10</v>
      </c>
      <c r="F257" s="6">
        <v>0</v>
      </c>
      <c r="G257" t="s">
        <v>127</v>
      </c>
    </row>
    <row r="258" spans="1:7">
      <c r="A258">
        <v>257</v>
      </c>
      <c r="B258" s="4">
        <v>45362</v>
      </c>
      <c r="C258">
        <v>17</v>
      </c>
      <c r="D258">
        <v>2</v>
      </c>
      <c r="E258">
        <v>4</v>
      </c>
      <c r="F258" s="6">
        <v>0</v>
      </c>
      <c r="G258" t="s">
        <v>127</v>
      </c>
    </row>
    <row r="259" spans="1:7">
      <c r="A259">
        <v>258</v>
      </c>
      <c r="B259" s="4">
        <v>45344</v>
      </c>
      <c r="C259">
        <v>34</v>
      </c>
      <c r="D259">
        <v>4</v>
      </c>
      <c r="E259">
        <v>2</v>
      </c>
      <c r="F259" s="6">
        <v>0</v>
      </c>
      <c r="G259" t="s">
        <v>33</v>
      </c>
    </row>
    <row r="260" spans="1:7">
      <c r="A260">
        <v>259</v>
      </c>
      <c r="B260" s="4">
        <v>45522</v>
      </c>
      <c r="C260">
        <v>33</v>
      </c>
      <c r="D260">
        <v>5</v>
      </c>
      <c r="E260">
        <v>5</v>
      </c>
      <c r="F260" s="6">
        <v>0</v>
      </c>
      <c r="G260" t="s">
        <v>128</v>
      </c>
    </row>
    <row r="261" spans="1:7">
      <c r="A261">
        <v>260</v>
      </c>
      <c r="B261" s="4">
        <v>45522</v>
      </c>
      <c r="C261">
        <v>23</v>
      </c>
      <c r="D261">
        <v>1</v>
      </c>
      <c r="E261">
        <v>2</v>
      </c>
      <c r="F261" s="6">
        <v>0.05</v>
      </c>
      <c r="G261" t="s">
        <v>127</v>
      </c>
    </row>
    <row r="262" spans="1:7">
      <c r="A262">
        <v>261</v>
      </c>
      <c r="B262" s="4">
        <v>45483</v>
      </c>
      <c r="C262">
        <v>16</v>
      </c>
      <c r="D262">
        <v>13</v>
      </c>
      <c r="E262">
        <v>15</v>
      </c>
      <c r="F262" s="6">
        <v>0</v>
      </c>
      <c r="G262" t="s">
        <v>128</v>
      </c>
    </row>
    <row r="263" spans="1:7">
      <c r="A263">
        <v>262</v>
      </c>
      <c r="B263" s="4">
        <v>45306</v>
      </c>
      <c r="C263">
        <v>21</v>
      </c>
      <c r="D263">
        <v>4</v>
      </c>
      <c r="E263">
        <v>5</v>
      </c>
      <c r="F263" s="6">
        <v>0.15</v>
      </c>
      <c r="G263" t="s">
        <v>33</v>
      </c>
    </row>
    <row r="264" spans="1:7">
      <c r="A264">
        <v>263</v>
      </c>
      <c r="B264" s="4">
        <v>45366</v>
      </c>
      <c r="C264">
        <v>9</v>
      </c>
      <c r="D264">
        <v>2</v>
      </c>
      <c r="E264">
        <v>2</v>
      </c>
      <c r="F264" s="6">
        <v>0.05</v>
      </c>
      <c r="G264" t="s">
        <v>127</v>
      </c>
    </row>
    <row r="265" spans="1:7">
      <c r="A265">
        <v>264</v>
      </c>
      <c r="B265" s="4">
        <v>45363</v>
      </c>
      <c r="C265">
        <v>31</v>
      </c>
      <c r="D265">
        <v>15</v>
      </c>
      <c r="E265">
        <v>4</v>
      </c>
      <c r="F265" s="6">
        <v>0</v>
      </c>
      <c r="G265" t="s">
        <v>128</v>
      </c>
    </row>
    <row r="266" spans="1:7">
      <c r="A266">
        <v>265</v>
      </c>
      <c r="B266" s="4">
        <v>45423</v>
      </c>
      <c r="C266">
        <v>14</v>
      </c>
      <c r="D266">
        <v>5</v>
      </c>
      <c r="E266">
        <v>3</v>
      </c>
      <c r="F266" s="6">
        <v>0.15</v>
      </c>
      <c r="G266" t="s">
        <v>127</v>
      </c>
    </row>
    <row r="267" spans="1:7">
      <c r="A267">
        <v>266</v>
      </c>
      <c r="B267" s="4">
        <v>45562</v>
      </c>
      <c r="C267">
        <v>28</v>
      </c>
      <c r="D267">
        <v>4</v>
      </c>
      <c r="E267">
        <v>5</v>
      </c>
      <c r="F267" s="6">
        <v>0</v>
      </c>
      <c r="G267" t="s">
        <v>33</v>
      </c>
    </row>
    <row r="268" spans="1:7">
      <c r="A268">
        <v>267</v>
      </c>
      <c r="B268" s="4">
        <v>45354</v>
      </c>
      <c r="C268">
        <v>4</v>
      </c>
      <c r="D268">
        <v>8</v>
      </c>
      <c r="E268">
        <v>2</v>
      </c>
      <c r="F268" s="6">
        <v>0.1</v>
      </c>
      <c r="G268" t="s">
        <v>33</v>
      </c>
    </row>
    <row r="269" spans="1:7">
      <c r="A269">
        <v>268</v>
      </c>
      <c r="B269" s="4">
        <v>45324</v>
      </c>
      <c r="C269">
        <v>8</v>
      </c>
      <c r="D269">
        <v>16</v>
      </c>
      <c r="E269">
        <v>3</v>
      </c>
      <c r="F269" s="6">
        <v>0</v>
      </c>
      <c r="G269" t="s">
        <v>127</v>
      </c>
    </row>
    <row r="270" spans="1:7">
      <c r="A270">
        <v>269</v>
      </c>
      <c r="B270" s="4">
        <v>45555</v>
      </c>
      <c r="C270">
        <v>37</v>
      </c>
      <c r="D270">
        <v>8</v>
      </c>
      <c r="E270">
        <v>4</v>
      </c>
      <c r="F270" s="6">
        <v>0</v>
      </c>
      <c r="G270" t="s">
        <v>33</v>
      </c>
    </row>
    <row r="271" spans="1:7">
      <c r="A271">
        <v>270</v>
      </c>
      <c r="B271" s="4">
        <v>45292</v>
      </c>
      <c r="C271">
        <v>40</v>
      </c>
      <c r="D271">
        <v>12</v>
      </c>
      <c r="E271">
        <v>2</v>
      </c>
      <c r="F271" s="6">
        <v>0.05</v>
      </c>
      <c r="G271" t="s">
        <v>128</v>
      </c>
    </row>
    <row r="272" spans="1:7">
      <c r="A272">
        <v>271</v>
      </c>
      <c r="B272" s="4">
        <v>45632</v>
      </c>
      <c r="C272">
        <v>6</v>
      </c>
      <c r="D272">
        <v>17</v>
      </c>
      <c r="E272">
        <v>12</v>
      </c>
      <c r="F272" s="6">
        <v>0</v>
      </c>
      <c r="G272" t="s">
        <v>127</v>
      </c>
    </row>
    <row r="273" spans="1:7">
      <c r="A273">
        <v>272</v>
      </c>
      <c r="B273" s="4">
        <v>45570</v>
      </c>
      <c r="C273">
        <v>33</v>
      </c>
      <c r="D273">
        <v>17</v>
      </c>
      <c r="E273">
        <v>3</v>
      </c>
      <c r="F273" s="6">
        <v>0.05</v>
      </c>
      <c r="G273" t="s">
        <v>33</v>
      </c>
    </row>
    <row r="274" spans="1:7">
      <c r="A274">
        <v>273</v>
      </c>
      <c r="B274" s="4">
        <v>45314</v>
      </c>
      <c r="C274">
        <v>25</v>
      </c>
      <c r="D274">
        <v>12</v>
      </c>
      <c r="E274">
        <v>2</v>
      </c>
      <c r="F274" s="6">
        <v>0</v>
      </c>
      <c r="G274" t="s">
        <v>33</v>
      </c>
    </row>
    <row r="275" spans="1:7">
      <c r="A275">
        <v>274</v>
      </c>
      <c r="B275" s="4">
        <v>45326</v>
      </c>
      <c r="C275">
        <v>23</v>
      </c>
      <c r="D275">
        <v>8</v>
      </c>
      <c r="E275">
        <v>4</v>
      </c>
      <c r="F275" s="6">
        <v>0.15</v>
      </c>
      <c r="G275" t="s">
        <v>128</v>
      </c>
    </row>
    <row r="276" spans="1:7">
      <c r="A276">
        <v>275</v>
      </c>
      <c r="B276" s="4">
        <v>45589</v>
      </c>
      <c r="C276">
        <v>22</v>
      </c>
      <c r="D276">
        <v>5</v>
      </c>
      <c r="E276">
        <v>1</v>
      </c>
      <c r="F276" s="6">
        <v>0.1</v>
      </c>
      <c r="G276" t="s">
        <v>33</v>
      </c>
    </row>
    <row r="277" spans="1:7">
      <c r="A277">
        <v>276</v>
      </c>
      <c r="B277" s="4">
        <v>45621</v>
      </c>
      <c r="C277">
        <v>12</v>
      </c>
      <c r="D277">
        <v>15</v>
      </c>
      <c r="E277">
        <v>12</v>
      </c>
      <c r="F277" s="6">
        <v>0.05</v>
      </c>
      <c r="G277" t="s">
        <v>127</v>
      </c>
    </row>
    <row r="278" spans="1:7">
      <c r="A278">
        <v>277</v>
      </c>
      <c r="B278" s="4">
        <v>45385</v>
      </c>
      <c r="C278">
        <v>9</v>
      </c>
      <c r="D278">
        <v>3</v>
      </c>
      <c r="E278">
        <v>4</v>
      </c>
      <c r="F278" s="6">
        <v>0.05</v>
      </c>
      <c r="G278" t="s">
        <v>128</v>
      </c>
    </row>
    <row r="279" spans="1:7">
      <c r="A279">
        <v>278</v>
      </c>
      <c r="B279" s="4">
        <v>45442</v>
      </c>
      <c r="C279">
        <v>13</v>
      </c>
      <c r="D279">
        <v>2</v>
      </c>
      <c r="E279">
        <v>5</v>
      </c>
      <c r="F279" s="6">
        <v>0</v>
      </c>
      <c r="G279" t="s">
        <v>33</v>
      </c>
    </row>
    <row r="280" spans="1:7">
      <c r="A280">
        <v>279</v>
      </c>
      <c r="B280" s="4">
        <v>45450</v>
      </c>
      <c r="C280">
        <v>33</v>
      </c>
      <c r="D280">
        <v>13</v>
      </c>
      <c r="E280">
        <v>12</v>
      </c>
      <c r="F280" s="6">
        <v>0.1</v>
      </c>
      <c r="G280" t="s">
        <v>33</v>
      </c>
    </row>
    <row r="281" spans="1:7">
      <c r="A281">
        <v>280</v>
      </c>
      <c r="B281" s="4">
        <v>45421</v>
      </c>
      <c r="C281">
        <v>3</v>
      </c>
      <c r="D281">
        <v>7</v>
      </c>
      <c r="E281">
        <v>2</v>
      </c>
      <c r="F281" s="6">
        <v>0</v>
      </c>
      <c r="G281" t="s">
        <v>127</v>
      </c>
    </row>
    <row r="282" spans="1:7">
      <c r="A282">
        <v>281</v>
      </c>
      <c r="B282" s="4">
        <v>45461</v>
      </c>
      <c r="C282">
        <v>18</v>
      </c>
      <c r="D282">
        <v>4</v>
      </c>
      <c r="E282">
        <v>5</v>
      </c>
      <c r="F282" s="6">
        <v>0.05</v>
      </c>
      <c r="G282" t="s">
        <v>33</v>
      </c>
    </row>
    <row r="283" spans="1:7">
      <c r="A283">
        <v>282</v>
      </c>
      <c r="B283" s="4">
        <v>45517</v>
      </c>
      <c r="C283">
        <v>25</v>
      </c>
      <c r="D283">
        <v>11</v>
      </c>
      <c r="E283">
        <v>12</v>
      </c>
      <c r="F283" s="6">
        <v>0.05</v>
      </c>
      <c r="G283" t="s">
        <v>127</v>
      </c>
    </row>
    <row r="284" spans="1:7">
      <c r="A284">
        <v>283</v>
      </c>
      <c r="B284" s="4">
        <v>45546</v>
      </c>
      <c r="C284">
        <v>24</v>
      </c>
      <c r="D284">
        <v>17</v>
      </c>
      <c r="E284">
        <v>2</v>
      </c>
      <c r="F284" s="6">
        <v>0</v>
      </c>
      <c r="G284" t="s">
        <v>127</v>
      </c>
    </row>
    <row r="285" spans="1:7">
      <c r="A285">
        <v>284</v>
      </c>
      <c r="B285" s="4">
        <v>45509</v>
      </c>
      <c r="C285">
        <v>6</v>
      </c>
      <c r="D285">
        <v>14</v>
      </c>
      <c r="E285">
        <v>3</v>
      </c>
      <c r="F285" s="6">
        <v>0</v>
      </c>
      <c r="G285" t="s">
        <v>127</v>
      </c>
    </row>
    <row r="286" spans="1:7">
      <c r="A286">
        <v>285</v>
      </c>
      <c r="B286" s="4">
        <v>45442</v>
      </c>
      <c r="C286">
        <v>21</v>
      </c>
      <c r="D286">
        <v>4</v>
      </c>
      <c r="E286">
        <v>1</v>
      </c>
      <c r="F286" s="6">
        <v>0.15</v>
      </c>
      <c r="G286" t="s">
        <v>33</v>
      </c>
    </row>
    <row r="287" spans="1:7">
      <c r="A287">
        <v>286</v>
      </c>
      <c r="B287" s="4">
        <v>45448</v>
      </c>
      <c r="C287">
        <v>29</v>
      </c>
      <c r="D287">
        <v>20</v>
      </c>
      <c r="E287">
        <v>4</v>
      </c>
      <c r="F287" s="6">
        <v>0</v>
      </c>
      <c r="G287" t="s">
        <v>127</v>
      </c>
    </row>
    <row r="288" spans="1:7">
      <c r="A288">
        <v>287</v>
      </c>
      <c r="B288" s="4">
        <v>45519</v>
      </c>
      <c r="C288">
        <v>23</v>
      </c>
      <c r="D288">
        <v>15</v>
      </c>
      <c r="E288">
        <v>1</v>
      </c>
      <c r="F288" s="6">
        <v>0</v>
      </c>
      <c r="G288" t="s">
        <v>127</v>
      </c>
    </row>
    <row r="289" spans="1:7">
      <c r="A289">
        <v>288</v>
      </c>
      <c r="B289" s="4">
        <v>45514</v>
      </c>
      <c r="C289">
        <v>18</v>
      </c>
      <c r="D289">
        <v>2</v>
      </c>
      <c r="E289">
        <v>1</v>
      </c>
      <c r="F289" s="6">
        <v>0.15</v>
      </c>
      <c r="G289" t="s">
        <v>33</v>
      </c>
    </row>
    <row r="290" spans="1:7">
      <c r="A290">
        <v>289</v>
      </c>
      <c r="B290" s="4">
        <v>45478</v>
      </c>
      <c r="C290">
        <v>33</v>
      </c>
      <c r="D290">
        <v>6</v>
      </c>
      <c r="E290">
        <v>10</v>
      </c>
      <c r="F290" s="6">
        <v>0</v>
      </c>
      <c r="G290" t="s">
        <v>127</v>
      </c>
    </row>
    <row r="291" spans="1:7">
      <c r="A291">
        <v>290</v>
      </c>
      <c r="B291" s="4">
        <v>45639</v>
      </c>
      <c r="C291">
        <v>29</v>
      </c>
      <c r="D291">
        <v>2</v>
      </c>
      <c r="E291">
        <v>1</v>
      </c>
      <c r="F291" s="6">
        <v>0</v>
      </c>
      <c r="G291" t="s">
        <v>127</v>
      </c>
    </row>
    <row r="292" spans="1:7">
      <c r="A292">
        <v>291</v>
      </c>
      <c r="B292" s="4">
        <v>45479</v>
      </c>
      <c r="C292">
        <v>24</v>
      </c>
      <c r="D292">
        <v>13</v>
      </c>
      <c r="E292">
        <v>10</v>
      </c>
      <c r="F292" s="6">
        <v>0</v>
      </c>
      <c r="G292" t="s">
        <v>127</v>
      </c>
    </row>
    <row r="293" spans="1:7">
      <c r="A293">
        <v>292</v>
      </c>
      <c r="B293" s="4">
        <v>45370</v>
      </c>
      <c r="C293">
        <v>29</v>
      </c>
      <c r="D293">
        <v>12</v>
      </c>
      <c r="E293">
        <v>2</v>
      </c>
      <c r="F293" s="6">
        <v>0</v>
      </c>
      <c r="G293" t="s">
        <v>127</v>
      </c>
    </row>
    <row r="294" spans="1:7">
      <c r="A294">
        <v>293</v>
      </c>
      <c r="B294" s="4">
        <v>45362</v>
      </c>
      <c r="C294">
        <v>34</v>
      </c>
      <c r="D294">
        <v>12</v>
      </c>
      <c r="E294">
        <v>2</v>
      </c>
      <c r="F294" s="6">
        <v>0.15</v>
      </c>
      <c r="G294" t="s">
        <v>33</v>
      </c>
    </row>
    <row r="295" spans="1:7">
      <c r="A295">
        <v>294</v>
      </c>
      <c r="B295" s="4">
        <v>45419</v>
      </c>
      <c r="C295">
        <v>8</v>
      </c>
      <c r="D295">
        <v>1</v>
      </c>
      <c r="E295">
        <v>4</v>
      </c>
      <c r="F295" s="6">
        <v>0.05</v>
      </c>
      <c r="G295" t="s">
        <v>127</v>
      </c>
    </row>
    <row r="296" spans="1:7">
      <c r="A296">
        <v>295</v>
      </c>
      <c r="B296" s="4">
        <v>45490</v>
      </c>
      <c r="C296">
        <v>36</v>
      </c>
      <c r="D296">
        <v>4</v>
      </c>
      <c r="E296">
        <v>2</v>
      </c>
      <c r="F296" s="6">
        <v>0</v>
      </c>
      <c r="G296" t="s">
        <v>127</v>
      </c>
    </row>
    <row r="297" spans="1:7">
      <c r="A297">
        <v>296</v>
      </c>
      <c r="B297" s="4">
        <v>45520</v>
      </c>
      <c r="C297">
        <v>14</v>
      </c>
      <c r="D297">
        <v>20</v>
      </c>
      <c r="E297">
        <v>2</v>
      </c>
      <c r="F297" s="6">
        <v>0.05</v>
      </c>
      <c r="G297" t="s">
        <v>128</v>
      </c>
    </row>
    <row r="298" spans="1:7">
      <c r="A298">
        <v>297</v>
      </c>
      <c r="B298" s="4">
        <v>45354</v>
      </c>
      <c r="C298">
        <v>9</v>
      </c>
      <c r="D298">
        <v>3</v>
      </c>
      <c r="E298">
        <v>3</v>
      </c>
      <c r="F298" s="6">
        <v>0.15</v>
      </c>
      <c r="G298" t="s">
        <v>33</v>
      </c>
    </row>
    <row r="299" spans="1:7">
      <c r="A299">
        <v>298</v>
      </c>
      <c r="B299" s="4">
        <v>45336</v>
      </c>
      <c r="C299">
        <v>21</v>
      </c>
      <c r="D299">
        <v>12</v>
      </c>
      <c r="E299">
        <v>4</v>
      </c>
      <c r="F299" s="6">
        <v>0.1</v>
      </c>
      <c r="G299" t="s">
        <v>127</v>
      </c>
    </row>
    <row r="300" spans="1:7">
      <c r="A300">
        <v>299</v>
      </c>
      <c r="B300" s="4">
        <v>45440</v>
      </c>
      <c r="C300">
        <v>20</v>
      </c>
      <c r="D300">
        <v>6</v>
      </c>
      <c r="E300">
        <v>4</v>
      </c>
      <c r="F300" s="6">
        <v>0.15</v>
      </c>
      <c r="G300" t="s">
        <v>127</v>
      </c>
    </row>
    <row r="301" spans="1:7">
      <c r="A301">
        <v>300</v>
      </c>
      <c r="B301" s="4">
        <v>45381</v>
      </c>
      <c r="C301">
        <v>24</v>
      </c>
      <c r="D301">
        <v>17</v>
      </c>
      <c r="E301">
        <v>2</v>
      </c>
      <c r="F301" s="6">
        <v>0</v>
      </c>
      <c r="G301" t="s">
        <v>128</v>
      </c>
    </row>
    <row r="302" spans="1:7">
      <c r="A302">
        <v>301</v>
      </c>
      <c r="B302" s="4">
        <v>45413</v>
      </c>
      <c r="C302">
        <v>32</v>
      </c>
      <c r="D302">
        <v>1</v>
      </c>
      <c r="E302">
        <v>2</v>
      </c>
      <c r="F302" s="6">
        <v>0.1</v>
      </c>
      <c r="G302" t="s">
        <v>33</v>
      </c>
    </row>
    <row r="303" spans="1:7">
      <c r="A303">
        <v>302</v>
      </c>
      <c r="B303" s="4">
        <v>45531</v>
      </c>
      <c r="C303">
        <v>36</v>
      </c>
      <c r="D303">
        <v>5</v>
      </c>
      <c r="E303">
        <v>3</v>
      </c>
      <c r="F303" s="6">
        <v>0</v>
      </c>
      <c r="G303" t="s">
        <v>128</v>
      </c>
    </row>
    <row r="304" spans="1:7">
      <c r="A304">
        <v>303</v>
      </c>
      <c r="B304" s="4">
        <v>45450</v>
      </c>
      <c r="C304">
        <v>26</v>
      </c>
      <c r="D304">
        <v>16</v>
      </c>
      <c r="E304">
        <v>3</v>
      </c>
      <c r="F304" s="6">
        <v>0.05</v>
      </c>
      <c r="G304" t="s">
        <v>127</v>
      </c>
    </row>
    <row r="305" spans="1:7">
      <c r="A305">
        <v>304</v>
      </c>
      <c r="B305" s="4">
        <v>45329</v>
      </c>
      <c r="C305">
        <v>9</v>
      </c>
      <c r="D305">
        <v>11</v>
      </c>
      <c r="E305">
        <v>4</v>
      </c>
      <c r="F305" s="6">
        <v>0.05</v>
      </c>
      <c r="G305" t="s">
        <v>33</v>
      </c>
    </row>
    <row r="306" spans="1:7">
      <c r="A306">
        <v>305</v>
      </c>
      <c r="B306" s="4">
        <v>45640</v>
      </c>
      <c r="C306">
        <v>34</v>
      </c>
      <c r="D306">
        <v>12</v>
      </c>
      <c r="E306">
        <v>1</v>
      </c>
      <c r="F306" s="6">
        <v>0.1</v>
      </c>
      <c r="G306" t="s">
        <v>127</v>
      </c>
    </row>
    <row r="307" spans="1:7">
      <c r="A307">
        <v>306</v>
      </c>
      <c r="B307" s="4">
        <v>45592</v>
      </c>
      <c r="C307">
        <v>12</v>
      </c>
      <c r="D307">
        <v>5</v>
      </c>
      <c r="E307">
        <v>3</v>
      </c>
      <c r="F307" s="6">
        <v>0</v>
      </c>
      <c r="G307" t="s">
        <v>128</v>
      </c>
    </row>
    <row r="308" spans="1:7">
      <c r="A308">
        <v>307</v>
      </c>
      <c r="B308" s="4">
        <v>45557</v>
      </c>
      <c r="C308">
        <v>10</v>
      </c>
      <c r="D308">
        <v>10</v>
      </c>
      <c r="E308">
        <v>1</v>
      </c>
      <c r="F308" s="6">
        <v>0</v>
      </c>
      <c r="G308" t="s">
        <v>127</v>
      </c>
    </row>
    <row r="309" spans="1:7">
      <c r="A309">
        <v>308</v>
      </c>
      <c r="B309" s="4">
        <v>45407</v>
      </c>
      <c r="C309">
        <v>23</v>
      </c>
      <c r="D309">
        <v>17</v>
      </c>
      <c r="E309">
        <v>6</v>
      </c>
      <c r="F309" s="6">
        <v>0</v>
      </c>
      <c r="G309" t="s">
        <v>33</v>
      </c>
    </row>
    <row r="310" spans="1:7">
      <c r="A310">
        <v>309</v>
      </c>
      <c r="B310" s="4">
        <v>45392</v>
      </c>
      <c r="C310">
        <v>36</v>
      </c>
      <c r="D310">
        <v>9</v>
      </c>
      <c r="E310">
        <v>1</v>
      </c>
      <c r="F310" s="6">
        <v>0</v>
      </c>
      <c r="G310" t="s">
        <v>127</v>
      </c>
    </row>
    <row r="311" spans="1:7">
      <c r="A311">
        <v>310</v>
      </c>
      <c r="B311" s="4">
        <v>45565</v>
      </c>
      <c r="C311">
        <v>6</v>
      </c>
      <c r="D311">
        <v>17</v>
      </c>
      <c r="E311">
        <v>4</v>
      </c>
      <c r="F311" s="6">
        <v>0.1</v>
      </c>
      <c r="G311" t="s">
        <v>127</v>
      </c>
    </row>
    <row r="312" spans="1:7">
      <c r="A312">
        <v>311</v>
      </c>
      <c r="B312" s="4">
        <v>45370</v>
      </c>
      <c r="C312">
        <v>11</v>
      </c>
      <c r="D312">
        <v>20</v>
      </c>
      <c r="E312">
        <v>4</v>
      </c>
      <c r="F312" s="6">
        <v>0.1</v>
      </c>
      <c r="G312" t="s">
        <v>33</v>
      </c>
    </row>
    <row r="313" spans="1:7">
      <c r="A313">
        <v>312</v>
      </c>
      <c r="B313" s="4">
        <v>45580</v>
      </c>
      <c r="C313">
        <v>3</v>
      </c>
      <c r="D313">
        <v>1</v>
      </c>
      <c r="E313">
        <v>1</v>
      </c>
      <c r="F313" s="6">
        <v>0.15</v>
      </c>
      <c r="G313" t="s">
        <v>127</v>
      </c>
    </row>
    <row r="314" spans="1:7">
      <c r="A314">
        <v>313</v>
      </c>
      <c r="B314" s="4">
        <v>45427</v>
      </c>
      <c r="C314">
        <v>14</v>
      </c>
      <c r="D314">
        <v>19</v>
      </c>
      <c r="E314">
        <v>2</v>
      </c>
      <c r="F314" s="6">
        <v>0.15</v>
      </c>
      <c r="G314" t="s">
        <v>128</v>
      </c>
    </row>
    <row r="315" spans="1:7">
      <c r="A315">
        <v>314</v>
      </c>
      <c r="B315" s="4">
        <v>45546</v>
      </c>
      <c r="C315">
        <v>35</v>
      </c>
      <c r="D315">
        <v>10</v>
      </c>
      <c r="E315">
        <v>4</v>
      </c>
      <c r="F315" s="6">
        <v>0</v>
      </c>
      <c r="G315" t="s">
        <v>33</v>
      </c>
    </row>
    <row r="316" spans="1:7">
      <c r="A316">
        <v>315</v>
      </c>
      <c r="B316" s="4">
        <v>45417</v>
      </c>
      <c r="C316">
        <v>26</v>
      </c>
      <c r="D316">
        <v>10</v>
      </c>
      <c r="E316">
        <v>3</v>
      </c>
      <c r="F316" s="6">
        <v>0.15</v>
      </c>
      <c r="G316" t="s">
        <v>128</v>
      </c>
    </row>
    <row r="317" spans="1:7">
      <c r="A317">
        <v>316</v>
      </c>
      <c r="B317" s="4">
        <v>45372</v>
      </c>
      <c r="C317">
        <v>29</v>
      </c>
      <c r="D317">
        <v>14</v>
      </c>
      <c r="E317">
        <v>3</v>
      </c>
      <c r="F317" s="6">
        <v>0</v>
      </c>
      <c r="G317" t="s">
        <v>33</v>
      </c>
    </row>
    <row r="318" spans="1:7">
      <c r="A318">
        <v>317</v>
      </c>
      <c r="B318" s="4">
        <v>45602</v>
      </c>
      <c r="C318">
        <v>10</v>
      </c>
      <c r="D318">
        <v>11</v>
      </c>
      <c r="E318">
        <v>6</v>
      </c>
      <c r="F318" s="6">
        <v>0</v>
      </c>
      <c r="G318" t="s">
        <v>127</v>
      </c>
    </row>
    <row r="319" spans="1:7">
      <c r="A319">
        <v>318</v>
      </c>
      <c r="B319" s="4">
        <v>45468</v>
      </c>
      <c r="C319">
        <v>26</v>
      </c>
      <c r="D319">
        <v>5</v>
      </c>
      <c r="E319">
        <v>5</v>
      </c>
      <c r="F319" s="6">
        <v>0.1</v>
      </c>
      <c r="G319" t="s">
        <v>127</v>
      </c>
    </row>
    <row r="320" spans="1:7">
      <c r="A320">
        <v>319</v>
      </c>
      <c r="B320" s="4">
        <v>45346</v>
      </c>
      <c r="C320">
        <v>21</v>
      </c>
      <c r="D320">
        <v>8</v>
      </c>
      <c r="E320">
        <v>3</v>
      </c>
      <c r="F320" s="6">
        <v>0</v>
      </c>
      <c r="G320" t="s">
        <v>33</v>
      </c>
    </row>
    <row r="321" spans="1:7">
      <c r="A321">
        <v>320</v>
      </c>
      <c r="B321" s="4">
        <v>45418</v>
      </c>
      <c r="C321">
        <v>10</v>
      </c>
      <c r="D321">
        <v>4</v>
      </c>
      <c r="E321">
        <v>1</v>
      </c>
      <c r="F321" s="6">
        <v>0.05</v>
      </c>
      <c r="G321" t="s">
        <v>127</v>
      </c>
    </row>
    <row r="322" spans="1:7">
      <c r="A322">
        <v>321</v>
      </c>
      <c r="B322" s="4">
        <v>45506</v>
      </c>
      <c r="C322">
        <v>16</v>
      </c>
      <c r="D322">
        <v>6</v>
      </c>
      <c r="E322">
        <v>5</v>
      </c>
      <c r="F322" s="6">
        <v>0.1</v>
      </c>
      <c r="G322" t="s">
        <v>127</v>
      </c>
    </row>
    <row r="323" spans="1:7">
      <c r="A323">
        <v>322</v>
      </c>
      <c r="B323" s="4">
        <v>45452</v>
      </c>
      <c r="C323">
        <v>13</v>
      </c>
      <c r="D323">
        <v>6</v>
      </c>
      <c r="E323">
        <v>3</v>
      </c>
      <c r="F323" s="6">
        <v>0.1</v>
      </c>
      <c r="G323" t="s">
        <v>33</v>
      </c>
    </row>
    <row r="324" spans="1:7">
      <c r="A324">
        <v>323</v>
      </c>
      <c r="B324" s="4">
        <v>45547</v>
      </c>
      <c r="C324">
        <v>20</v>
      </c>
      <c r="D324">
        <v>16</v>
      </c>
      <c r="E324">
        <v>1</v>
      </c>
      <c r="F324" s="6">
        <v>0.05</v>
      </c>
      <c r="G324" t="s">
        <v>127</v>
      </c>
    </row>
    <row r="325" spans="1:7">
      <c r="A325">
        <v>324</v>
      </c>
      <c r="B325" s="4">
        <v>45526</v>
      </c>
      <c r="C325">
        <v>16</v>
      </c>
      <c r="D325">
        <v>7</v>
      </c>
      <c r="E325">
        <v>3</v>
      </c>
      <c r="F325" s="6">
        <v>0</v>
      </c>
      <c r="G325" t="s">
        <v>128</v>
      </c>
    </row>
    <row r="326" spans="1:7">
      <c r="A326">
        <v>325</v>
      </c>
      <c r="B326" s="4">
        <v>45436</v>
      </c>
      <c r="C326">
        <v>32</v>
      </c>
      <c r="D326">
        <v>20</v>
      </c>
      <c r="E326">
        <v>6</v>
      </c>
      <c r="F326" s="6">
        <v>0.15</v>
      </c>
      <c r="G326" t="s">
        <v>127</v>
      </c>
    </row>
    <row r="327" spans="1:7">
      <c r="A327">
        <v>326</v>
      </c>
      <c r="B327" s="4">
        <v>45532</v>
      </c>
      <c r="C327">
        <v>19</v>
      </c>
      <c r="D327">
        <v>18</v>
      </c>
      <c r="E327">
        <v>1</v>
      </c>
      <c r="F327" s="6">
        <v>0</v>
      </c>
      <c r="G327" t="s">
        <v>33</v>
      </c>
    </row>
    <row r="328" spans="1:7">
      <c r="A328">
        <v>327</v>
      </c>
      <c r="B328" s="4">
        <v>45360</v>
      </c>
      <c r="C328">
        <v>17</v>
      </c>
      <c r="D328">
        <v>12</v>
      </c>
      <c r="E328">
        <v>5</v>
      </c>
      <c r="F328" s="6">
        <v>0</v>
      </c>
      <c r="G328" t="s">
        <v>128</v>
      </c>
    </row>
    <row r="329" spans="1:7">
      <c r="A329">
        <v>328</v>
      </c>
      <c r="B329" s="4">
        <v>45497</v>
      </c>
      <c r="C329">
        <v>4</v>
      </c>
      <c r="D329">
        <v>19</v>
      </c>
      <c r="E329">
        <v>3</v>
      </c>
      <c r="F329" s="6">
        <v>0</v>
      </c>
      <c r="G329" t="s">
        <v>127</v>
      </c>
    </row>
    <row r="330" spans="1:7">
      <c r="A330">
        <v>329</v>
      </c>
      <c r="B330" s="4">
        <v>45439</v>
      </c>
      <c r="C330">
        <v>5</v>
      </c>
      <c r="D330">
        <v>13</v>
      </c>
      <c r="E330">
        <v>3</v>
      </c>
      <c r="F330" s="6">
        <v>0.1</v>
      </c>
      <c r="G330" t="s">
        <v>33</v>
      </c>
    </row>
    <row r="331" spans="1:7">
      <c r="A331">
        <v>330</v>
      </c>
      <c r="B331" s="4">
        <v>45611</v>
      </c>
      <c r="C331">
        <v>40</v>
      </c>
      <c r="D331">
        <v>4</v>
      </c>
      <c r="E331">
        <v>1</v>
      </c>
      <c r="F331" s="6">
        <v>0</v>
      </c>
      <c r="G331" t="s">
        <v>33</v>
      </c>
    </row>
    <row r="332" spans="1:7">
      <c r="A332">
        <v>331</v>
      </c>
      <c r="B332" s="4">
        <v>45483</v>
      </c>
      <c r="C332">
        <v>22</v>
      </c>
      <c r="D332">
        <v>18</v>
      </c>
      <c r="E332">
        <v>8</v>
      </c>
      <c r="F332" s="6">
        <v>0</v>
      </c>
      <c r="G332" t="s">
        <v>128</v>
      </c>
    </row>
    <row r="333" spans="1:7">
      <c r="A333">
        <v>332</v>
      </c>
      <c r="B333" s="4">
        <v>45600</v>
      </c>
      <c r="C333">
        <v>33</v>
      </c>
      <c r="D333">
        <v>13</v>
      </c>
      <c r="E333">
        <v>3</v>
      </c>
      <c r="F333" s="6">
        <v>0</v>
      </c>
      <c r="G333" t="s">
        <v>128</v>
      </c>
    </row>
    <row r="334" spans="1:7">
      <c r="A334">
        <v>333</v>
      </c>
      <c r="B334" s="4">
        <v>45362</v>
      </c>
      <c r="C334">
        <v>22</v>
      </c>
      <c r="D334">
        <v>16</v>
      </c>
      <c r="E334">
        <v>3</v>
      </c>
      <c r="F334" s="6">
        <v>0</v>
      </c>
      <c r="G334" t="s">
        <v>127</v>
      </c>
    </row>
    <row r="335" spans="1:7">
      <c r="A335">
        <v>334</v>
      </c>
      <c r="B335" s="4">
        <v>45555</v>
      </c>
      <c r="C335">
        <v>9</v>
      </c>
      <c r="D335">
        <v>11</v>
      </c>
      <c r="E335">
        <v>8</v>
      </c>
      <c r="F335" s="6">
        <v>0</v>
      </c>
      <c r="G335" t="s">
        <v>128</v>
      </c>
    </row>
    <row r="336" spans="1:7">
      <c r="A336">
        <v>335</v>
      </c>
      <c r="B336" s="4">
        <v>45493</v>
      </c>
      <c r="C336">
        <v>40</v>
      </c>
      <c r="D336">
        <v>10</v>
      </c>
      <c r="E336">
        <v>3</v>
      </c>
      <c r="F336" s="6">
        <v>0.1</v>
      </c>
      <c r="G336" t="s">
        <v>127</v>
      </c>
    </row>
    <row r="337" spans="1:7">
      <c r="A337">
        <v>336</v>
      </c>
      <c r="B337" s="4">
        <v>45564</v>
      </c>
      <c r="C337">
        <v>32</v>
      </c>
      <c r="D337">
        <v>19</v>
      </c>
      <c r="E337">
        <v>2</v>
      </c>
      <c r="F337" s="6">
        <v>0</v>
      </c>
      <c r="G337" t="s">
        <v>33</v>
      </c>
    </row>
    <row r="338" spans="1:7">
      <c r="A338">
        <v>337</v>
      </c>
      <c r="B338" s="4">
        <v>45461</v>
      </c>
      <c r="C338">
        <v>8</v>
      </c>
      <c r="D338">
        <v>14</v>
      </c>
      <c r="E338">
        <v>3</v>
      </c>
      <c r="F338" s="6">
        <v>0.15</v>
      </c>
      <c r="G338" t="s">
        <v>127</v>
      </c>
    </row>
    <row r="339" spans="1:7">
      <c r="A339">
        <v>338</v>
      </c>
      <c r="B339" s="4">
        <v>45614</v>
      </c>
      <c r="C339">
        <v>2</v>
      </c>
      <c r="D339">
        <v>20</v>
      </c>
      <c r="E339">
        <v>3</v>
      </c>
      <c r="F339" s="6">
        <v>0.15</v>
      </c>
      <c r="G339" t="s">
        <v>127</v>
      </c>
    </row>
    <row r="340" spans="1:7">
      <c r="A340">
        <v>339</v>
      </c>
      <c r="B340" s="4">
        <v>45587</v>
      </c>
      <c r="C340">
        <v>15</v>
      </c>
      <c r="D340">
        <v>2</v>
      </c>
      <c r="E340">
        <v>3</v>
      </c>
      <c r="F340" s="6">
        <v>0</v>
      </c>
      <c r="G340" t="s">
        <v>127</v>
      </c>
    </row>
    <row r="341" spans="1:7">
      <c r="A341">
        <v>340</v>
      </c>
      <c r="B341" s="4">
        <v>45614</v>
      </c>
      <c r="C341">
        <v>40</v>
      </c>
      <c r="D341">
        <v>13</v>
      </c>
      <c r="E341">
        <v>1</v>
      </c>
      <c r="F341" s="6">
        <v>0.15</v>
      </c>
      <c r="G341" t="s">
        <v>128</v>
      </c>
    </row>
    <row r="342" spans="1:7">
      <c r="A342">
        <v>341</v>
      </c>
      <c r="B342" s="4">
        <v>45308</v>
      </c>
      <c r="C342">
        <v>37</v>
      </c>
      <c r="D342">
        <v>4</v>
      </c>
      <c r="E342">
        <v>2</v>
      </c>
      <c r="F342" s="6">
        <v>0.05</v>
      </c>
      <c r="G342" t="s">
        <v>33</v>
      </c>
    </row>
    <row r="343" spans="1:7">
      <c r="A343">
        <v>342</v>
      </c>
      <c r="B343" s="4">
        <v>45506</v>
      </c>
      <c r="C343">
        <v>10</v>
      </c>
      <c r="D343">
        <v>14</v>
      </c>
      <c r="E343">
        <v>4</v>
      </c>
      <c r="F343" s="6">
        <v>0.05</v>
      </c>
      <c r="G343" t="s">
        <v>127</v>
      </c>
    </row>
    <row r="344" spans="1:7">
      <c r="A344">
        <v>343</v>
      </c>
      <c r="B344" s="4">
        <v>45605</v>
      </c>
      <c r="C344">
        <v>31</v>
      </c>
      <c r="D344">
        <v>2</v>
      </c>
      <c r="E344">
        <v>4</v>
      </c>
      <c r="F344" s="6">
        <v>0.1</v>
      </c>
      <c r="G344" t="s">
        <v>128</v>
      </c>
    </row>
    <row r="345" spans="1:7">
      <c r="A345">
        <v>344</v>
      </c>
      <c r="B345" s="4">
        <v>45579</v>
      </c>
      <c r="C345">
        <v>21</v>
      </c>
      <c r="D345">
        <v>16</v>
      </c>
      <c r="E345">
        <v>3</v>
      </c>
      <c r="F345" s="6">
        <v>0</v>
      </c>
      <c r="G345" t="s">
        <v>128</v>
      </c>
    </row>
    <row r="346" spans="1:7">
      <c r="A346">
        <v>345</v>
      </c>
      <c r="B346" s="4">
        <v>45527</v>
      </c>
      <c r="C346">
        <v>35</v>
      </c>
      <c r="D346">
        <v>11</v>
      </c>
      <c r="E346">
        <v>3</v>
      </c>
      <c r="F346" s="6">
        <v>0.15</v>
      </c>
      <c r="G346" t="s">
        <v>127</v>
      </c>
    </row>
    <row r="347" spans="1:7">
      <c r="A347">
        <v>346</v>
      </c>
      <c r="B347" s="4">
        <v>45640</v>
      </c>
      <c r="C347">
        <v>17</v>
      </c>
      <c r="D347">
        <v>20</v>
      </c>
      <c r="E347">
        <v>3</v>
      </c>
      <c r="F347" s="6">
        <v>0</v>
      </c>
      <c r="G347" t="s">
        <v>33</v>
      </c>
    </row>
    <row r="348" spans="1:7">
      <c r="A348">
        <v>347</v>
      </c>
      <c r="B348" s="4">
        <v>45577</v>
      </c>
      <c r="C348">
        <v>20</v>
      </c>
      <c r="D348">
        <v>8</v>
      </c>
      <c r="E348">
        <v>8</v>
      </c>
      <c r="F348" s="6">
        <v>0</v>
      </c>
      <c r="G348" t="s">
        <v>33</v>
      </c>
    </row>
    <row r="349" spans="1:7">
      <c r="A349">
        <v>348</v>
      </c>
      <c r="B349" s="4">
        <v>45652</v>
      </c>
      <c r="C349">
        <v>14</v>
      </c>
      <c r="D349">
        <v>16</v>
      </c>
      <c r="E349">
        <v>2</v>
      </c>
      <c r="F349" s="6">
        <v>0</v>
      </c>
      <c r="G349" t="s">
        <v>127</v>
      </c>
    </row>
    <row r="350" spans="1:7">
      <c r="A350">
        <v>349</v>
      </c>
      <c r="B350" s="4">
        <v>45432</v>
      </c>
      <c r="C350">
        <v>19</v>
      </c>
      <c r="D350">
        <v>4</v>
      </c>
      <c r="E350">
        <v>3</v>
      </c>
      <c r="F350" s="6">
        <v>0.1</v>
      </c>
      <c r="G350" t="s">
        <v>33</v>
      </c>
    </row>
    <row r="351" spans="1:7">
      <c r="A351">
        <v>350</v>
      </c>
      <c r="B351" s="4">
        <v>45494</v>
      </c>
      <c r="C351">
        <v>23</v>
      </c>
      <c r="D351">
        <v>5</v>
      </c>
      <c r="E351">
        <v>2</v>
      </c>
      <c r="F351" s="6">
        <v>0</v>
      </c>
      <c r="G351" t="s">
        <v>127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1"/>
  <sheetViews>
    <sheetView workbookViewId="0"/>
  </sheetViews>
  <sheetFormatPr defaultRowHeight="14.25"/>
  <cols>
    <col min="1" max="1" width="12" customWidth="1"/>
    <col min="2" max="2" width="14" customWidth="1"/>
    <col min="3" max="4" width="12" customWidth="1"/>
    <col min="5" max="6" width="18" customWidth="1"/>
  </cols>
  <sheetData>
    <row r="1" spans="1:6" ht="15">
      <c r="A1" s="3" t="s">
        <v>129</v>
      </c>
      <c r="B1" s="3" t="s">
        <v>130</v>
      </c>
      <c r="C1" s="3" t="s">
        <v>73</v>
      </c>
      <c r="D1" s="3" t="s">
        <v>93</v>
      </c>
      <c r="E1" s="3" t="s">
        <v>131</v>
      </c>
      <c r="F1" s="3" t="s">
        <v>132</v>
      </c>
    </row>
    <row r="2" spans="1:6">
      <c r="A2">
        <v>1</v>
      </c>
      <c r="B2" s="4">
        <v>45469</v>
      </c>
      <c r="C2">
        <v>4</v>
      </c>
      <c r="D2">
        <v>3</v>
      </c>
      <c r="E2">
        <v>120</v>
      </c>
      <c r="F2" s="5">
        <v>12.42</v>
      </c>
    </row>
    <row r="3" spans="1:6">
      <c r="A3">
        <v>2</v>
      </c>
      <c r="B3" s="4">
        <v>45401</v>
      </c>
      <c r="C3">
        <v>2</v>
      </c>
      <c r="D3">
        <v>16</v>
      </c>
      <c r="E3">
        <v>50</v>
      </c>
      <c r="F3" s="5">
        <v>19.04</v>
      </c>
    </row>
    <row r="4" spans="1:6">
      <c r="A4">
        <v>3</v>
      </c>
      <c r="B4" s="4">
        <v>45579</v>
      </c>
      <c r="C4">
        <v>3</v>
      </c>
      <c r="D4">
        <v>9</v>
      </c>
      <c r="E4">
        <v>60</v>
      </c>
      <c r="F4" s="5">
        <v>2.9</v>
      </c>
    </row>
    <row r="5" spans="1:6">
      <c r="A5">
        <v>4</v>
      </c>
      <c r="B5" s="4">
        <v>45592</v>
      </c>
      <c r="C5">
        <v>6</v>
      </c>
      <c r="D5">
        <v>20</v>
      </c>
      <c r="E5">
        <v>50</v>
      </c>
      <c r="F5" s="5">
        <v>1.47</v>
      </c>
    </row>
    <row r="6" spans="1:6">
      <c r="A6">
        <v>5</v>
      </c>
      <c r="B6" s="4">
        <v>45407</v>
      </c>
      <c r="C6">
        <v>2</v>
      </c>
      <c r="D6">
        <v>17</v>
      </c>
      <c r="E6">
        <v>50</v>
      </c>
      <c r="F6" s="5">
        <v>5.74</v>
      </c>
    </row>
    <row r="7" spans="1:6">
      <c r="A7">
        <v>6</v>
      </c>
      <c r="B7" s="4">
        <v>45461</v>
      </c>
      <c r="C7">
        <v>4</v>
      </c>
      <c r="D7">
        <v>14</v>
      </c>
      <c r="E7">
        <v>120</v>
      </c>
      <c r="F7" s="5">
        <v>3.85</v>
      </c>
    </row>
    <row r="8" spans="1:6">
      <c r="A8">
        <v>7</v>
      </c>
      <c r="B8" s="4">
        <v>45294</v>
      </c>
      <c r="C8">
        <v>4</v>
      </c>
      <c r="D8">
        <v>5</v>
      </c>
      <c r="E8">
        <v>40</v>
      </c>
      <c r="F8" s="5">
        <v>16.05</v>
      </c>
    </row>
    <row r="9" spans="1:6">
      <c r="A9">
        <v>8</v>
      </c>
      <c r="B9" s="4">
        <v>45536</v>
      </c>
      <c r="C9">
        <v>2</v>
      </c>
      <c r="D9">
        <v>16</v>
      </c>
      <c r="E9">
        <v>50</v>
      </c>
      <c r="F9" s="5">
        <v>18.87</v>
      </c>
    </row>
    <row r="10" spans="1:6">
      <c r="A10">
        <v>9</v>
      </c>
      <c r="B10" s="4">
        <v>45456</v>
      </c>
      <c r="C10">
        <v>7</v>
      </c>
      <c r="D10">
        <v>10</v>
      </c>
      <c r="E10">
        <v>60</v>
      </c>
      <c r="F10" s="5">
        <v>1.24</v>
      </c>
    </row>
    <row r="11" spans="1:6">
      <c r="A11">
        <v>10</v>
      </c>
      <c r="B11" s="4">
        <v>45625</v>
      </c>
      <c r="C11">
        <v>4</v>
      </c>
      <c r="D11">
        <v>3</v>
      </c>
      <c r="E11">
        <v>50</v>
      </c>
      <c r="F11" s="5">
        <v>12.23</v>
      </c>
    </row>
    <row r="12" spans="1:6">
      <c r="A12">
        <v>11</v>
      </c>
      <c r="B12" s="4">
        <v>45381</v>
      </c>
      <c r="C12">
        <v>1</v>
      </c>
      <c r="D12">
        <v>2</v>
      </c>
      <c r="E12">
        <v>100</v>
      </c>
      <c r="F12" s="5">
        <v>19.16</v>
      </c>
    </row>
    <row r="13" spans="1:6">
      <c r="A13">
        <v>12</v>
      </c>
      <c r="B13" s="4">
        <v>45310</v>
      </c>
      <c r="C13">
        <v>8</v>
      </c>
      <c r="D13">
        <v>6</v>
      </c>
      <c r="E13">
        <v>100</v>
      </c>
      <c r="F13" s="5">
        <v>2.1</v>
      </c>
    </row>
    <row r="14" spans="1:6">
      <c r="A14">
        <v>13</v>
      </c>
      <c r="B14" s="4">
        <v>45440</v>
      </c>
      <c r="C14">
        <v>8</v>
      </c>
      <c r="D14">
        <v>6</v>
      </c>
      <c r="E14">
        <v>20</v>
      </c>
      <c r="F14" s="5">
        <v>1.9</v>
      </c>
    </row>
    <row r="15" spans="1:6">
      <c r="A15">
        <v>14</v>
      </c>
      <c r="B15" s="4">
        <v>45600</v>
      </c>
      <c r="C15">
        <v>2</v>
      </c>
      <c r="D15">
        <v>19</v>
      </c>
      <c r="E15">
        <v>30</v>
      </c>
      <c r="F15" s="5">
        <v>5.35</v>
      </c>
    </row>
    <row r="16" spans="1:6">
      <c r="A16">
        <v>15</v>
      </c>
      <c r="B16" s="4">
        <v>45437</v>
      </c>
      <c r="C16">
        <v>6</v>
      </c>
      <c r="D16">
        <v>11</v>
      </c>
      <c r="E16">
        <v>120</v>
      </c>
      <c r="F16" s="5">
        <v>3.24</v>
      </c>
    </row>
    <row r="17" spans="1:6">
      <c r="A17">
        <v>16</v>
      </c>
      <c r="B17" s="4">
        <v>45560</v>
      </c>
      <c r="C17">
        <v>7</v>
      </c>
      <c r="D17">
        <v>18</v>
      </c>
      <c r="E17">
        <v>120</v>
      </c>
      <c r="F17" s="5">
        <v>9.59</v>
      </c>
    </row>
    <row r="18" spans="1:6">
      <c r="A18">
        <v>17</v>
      </c>
      <c r="B18" s="4">
        <v>45550</v>
      </c>
      <c r="C18">
        <v>4</v>
      </c>
      <c r="D18">
        <v>5</v>
      </c>
      <c r="E18">
        <v>120</v>
      </c>
      <c r="F18" s="5">
        <v>15.77</v>
      </c>
    </row>
    <row r="19" spans="1:6">
      <c r="A19">
        <v>18</v>
      </c>
      <c r="B19" s="4">
        <v>45461</v>
      </c>
      <c r="C19">
        <v>7</v>
      </c>
      <c r="D19">
        <v>4</v>
      </c>
      <c r="E19">
        <v>40</v>
      </c>
      <c r="F19" s="5">
        <v>14.63</v>
      </c>
    </row>
    <row r="20" spans="1:6">
      <c r="A20">
        <v>19</v>
      </c>
      <c r="B20" s="4">
        <v>45387</v>
      </c>
      <c r="C20">
        <v>3</v>
      </c>
      <c r="D20">
        <v>9</v>
      </c>
      <c r="E20">
        <v>20</v>
      </c>
      <c r="F20" s="5">
        <v>3.14</v>
      </c>
    </row>
    <row r="21" spans="1:6">
      <c r="A21">
        <v>20</v>
      </c>
      <c r="B21" s="4">
        <v>45582</v>
      </c>
      <c r="C21">
        <v>7</v>
      </c>
      <c r="D21">
        <v>10</v>
      </c>
      <c r="E21">
        <v>50</v>
      </c>
      <c r="F21" s="5">
        <v>1.17</v>
      </c>
    </row>
    <row r="22" spans="1:6">
      <c r="A22">
        <v>21</v>
      </c>
      <c r="B22" s="4">
        <v>45510</v>
      </c>
      <c r="C22">
        <v>3</v>
      </c>
      <c r="D22">
        <v>13</v>
      </c>
      <c r="E22">
        <v>80</v>
      </c>
      <c r="F22" s="5">
        <v>9.61</v>
      </c>
    </row>
    <row r="23" spans="1:6">
      <c r="A23">
        <v>22</v>
      </c>
      <c r="B23" s="4">
        <v>45386</v>
      </c>
      <c r="C23">
        <v>7</v>
      </c>
      <c r="D23">
        <v>4</v>
      </c>
      <c r="E23">
        <v>40</v>
      </c>
      <c r="F23" s="5">
        <v>14.17</v>
      </c>
    </row>
    <row r="24" spans="1:6">
      <c r="A24">
        <v>23</v>
      </c>
      <c r="B24" s="4">
        <v>45295</v>
      </c>
      <c r="C24">
        <v>1</v>
      </c>
      <c r="D24">
        <v>8</v>
      </c>
      <c r="E24">
        <v>60</v>
      </c>
      <c r="F24" s="5">
        <v>5</v>
      </c>
    </row>
    <row r="25" spans="1:6">
      <c r="A25">
        <v>24</v>
      </c>
      <c r="B25" s="4">
        <v>45428</v>
      </c>
      <c r="C25">
        <v>6</v>
      </c>
      <c r="D25">
        <v>15</v>
      </c>
      <c r="E25">
        <v>80</v>
      </c>
      <c r="F25" s="5">
        <v>6.92</v>
      </c>
    </row>
    <row r="26" spans="1:6">
      <c r="A26">
        <v>25</v>
      </c>
      <c r="B26" s="4">
        <v>45297</v>
      </c>
      <c r="C26">
        <v>2</v>
      </c>
      <c r="D26">
        <v>19</v>
      </c>
      <c r="E26">
        <v>60</v>
      </c>
      <c r="F26" s="5">
        <v>5.17</v>
      </c>
    </row>
    <row r="27" spans="1:6">
      <c r="A27">
        <v>26</v>
      </c>
      <c r="B27" s="4">
        <v>45323</v>
      </c>
      <c r="C27">
        <v>1</v>
      </c>
      <c r="D27">
        <v>8</v>
      </c>
      <c r="E27">
        <v>30</v>
      </c>
      <c r="F27" s="5">
        <v>5.05</v>
      </c>
    </row>
    <row r="28" spans="1:6">
      <c r="A28">
        <v>27</v>
      </c>
      <c r="B28" s="4">
        <v>45499</v>
      </c>
      <c r="C28">
        <v>8</v>
      </c>
      <c r="D28">
        <v>6</v>
      </c>
      <c r="E28">
        <v>60</v>
      </c>
      <c r="F28" s="5">
        <v>2.08</v>
      </c>
    </row>
    <row r="29" spans="1:6">
      <c r="A29">
        <v>28</v>
      </c>
      <c r="B29" s="4">
        <v>45480</v>
      </c>
      <c r="C29">
        <v>7</v>
      </c>
      <c r="D29">
        <v>10</v>
      </c>
      <c r="E29">
        <v>50</v>
      </c>
      <c r="F29" s="5">
        <v>1.17</v>
      </c>
    </row>
    <row r="30" spans="1:6">
      <c r="A30">
        <v>29</v>
      </c>
      <c r="B30" s="4">
        <v>45536</v>
      </c>
      <c r="C30">
        <v>4</v>
      </c>
      <c r="D30">
        <v>5</v>
      </c>
      <c r="E30">
        <v>40</v>
      </c>
      <c r="F30" s="5">
        <v>16.149999999999999</v>
      </c>
    </row>
    <row r="31" spans="1:6">
      <c r="A31">
        <v>30</v>
      </c>
      <c r="B31" s="4">
        <v>45483</v>
      </c>
      <c r="C31">
        <v>6</v>
      </c>
      <c r="D31">
        <v>20</v>
      </c>
      <c r="E31">
        <v>100</v>
      </c>
      <c r="F31" s="5">
        <v>1.56</v>
      </c>
    </row>
    <row r="32" spans="1:6">
      <c r="A32">
        <v>31</v>
      </c>
      <c r="B32" s="4">
        <v>45567</v>
      </c>
      <c r="C32">
        <v>2</v>
      </c>
      <c r="D32">
        <v>16</v>
      </c>
      <c r="E32">
        <v>50</v>
      </c>
      <c r="F32" s="5">
        <v>18.88</v>
      </c>
    </row>
    <row r="33" spans="1:6">
      <c r="A33">
        <v>32</v>
      </c>
      <c r="B33" s="4">
        <v>45333</v>
      </c>
      <c r="C33">
        <v>6</v>
      </c>
      <c r="D33">
        <v>20</v>
      </c>
      <c r="E33">
        <v>120</v>
      </c>
      <c r="F33" s="5">
        <v>1.53</v>
      </c>
    </row>
    <row r="34" spans="1:6">
      <c r="A34">
        <v>33</v>
      </c>
      <c r="B34" s="4">
        <v>45331</v>
      </c>
      <c r="C34">
        <v>5</v>
      </c>
      <c r="D34">
        <v>12</v>
      </c>
      <c r="E34">
        <v>30</v>
      </c>
      <c r="F34" s="5">
        <v>5.75</v>
      </c>
    </row>
    <row r="35" spans="1:6">
      <c r="A35">
        <v>34</v>
      </c>
      <c r="B35" s="4">
        <v>45550</v>
      </c>
      <c r="C35">
        <v>7</v>
      </c>
      <c r="D35">
        <v>18</v>
      </c>
      <c r="E35">
        <v>50</v>
      </c>
      <c r="F35" s="5">
        <v>9.2200000000000006</v>
      </c>
    </row>
    <row r="36" spans="1:6">
      <c r="A36">
        <v>35</v>
      </c>
      <c r="B36" s="4">
        <v>45376</v>
      </c>
      <c r="C36">
        <v>4</v>
      </c>
      <c r="D36">
        <v>5</v>
      </c>
      <c r="E36">
        <v>80</v>
      </c>
      <c r="F36" s="5">
        <v>16.98</v>
      </c>
    </row>
    <row r="37" spans="1:6">
      <c r="A37">
        <v>36</v>
      </c>
      <c r="B37" s="4">
        <v>45351</v>
      </c>
      <c r="C37">
        <v>6</v>
      </c>
      <c r="D37">
        <v>15</v>
      </c>
      <c r="E37">
        <v>50</v>
      </c>
      <c r="F37" s="5">
        <v>7.3</v>
      </c>
    </row>
    <row r="38" spans="1:6">
      <c r="A38">
        <v>37</v>
      </c>
      <c r="B38" s="4">
        <v>45338</v>
      </c>
      <c r="C38">
        <v>2</v>
      </c>
      <c r="D38">
        <v>16</v>
      </c>
      <c r="E38">
        <v>120</v>
      </c>
      <c r="F38" s="5">
        <v>18.989999999999998</v>
      </c>
    </row>
    <row r="39" spans="1:6">
      <c r="A39">
        <v>38</v>
      </c>
      <c r="B39" s="4">
        <v>45359</v>
      </c>
      <c r="C39">
        <v>6</v>
      </c>
      <c r="D39">
        <v>15</v>
      </c>
      <c r="E39">
        <v>100</v>
      </c>
      <c r="F39" s="5">
        <v>7.07</v>
      </c>
    </row>
    <row r="40" spans="1:6">
      <c r="A40">
        <v>39</v>
      </c>
      <c r="B40" s="4">
        <v>45578</v>
      </c>
      <c r="C40">
        <v>1</v>
      </c>
      <c r="D40">
        <v>2</v>
      </c>
      <c r="E40">
        <v>120</v>
      </c>
      <c r="F40" s="5">
        <v>18.670000000000002</v>
      </c>
    </row>
    <row r="41" spans="1:6">
      <c r="A41">
        <v>40</v>
      </c>
      <c r="B41" s="4">
        <v>45303</v>
      </c>
      <c r="C41">
        <v>7</v>
      </c>
      <c r="D41">
        <v>10</v>
      </c>
      <c r="E41">
        <v>100</v>
      </c>
      <c r="F41" s="5">
        <v>1.18</v>
      </c>
    </row>
    <row r="42" spans="1:6">
      <c r="A42">
        <v>41</v>
      </c>
      <c r="B42" s="4">
        <v>45403</v>
      </c>
      <c r="C42">
        <v>4</v>
      </c>
      <c r="D42">
        <v>1</v>
      </c>
      <c r="E42">
        <v>30</v>
      </c>
      <c r="F42" s="5">
        <v>7.65</v>
      </c>
    </row>
    <row r="43" spans="1:6">
      <c r="A43">
        <v>42</v>
      </c>
      <c r="B43" s="4">
        <v>45650</v>
      </c>
      <c r="C43">
        <v>5</v>
      </c>
      <c r="D43">
        <v>12</v>
      </c>
      <c r="E43">
        <v>30</v>
      </c>
      <c r="F43" s="5">
        <v>6.12</v>
      </c>
    </row>
    <row r="44" spans="1:6">
      <c r="A44">
        <v>43</v>
      </c>
      <c r="B44" s="4">
        <v>45327</v>
      </c>
      <c r="C44">
        <v>1</v>
      </c>
      <c r="D44">
        <v>2</v>
      </c>
      <c r="E44">
        <v>120</v>
      </c>
      <c r="F44" s="5">
        <v>17.170000000000002</v>
      </c>
    </row>
    <row r="45" spans="1:6">
      <c r="A45">
        <v>44</v>
      </c>
      <c r="B45" s="4">
        <v>45384</v>
      </c>
      <c r="C45">
        <v>4</v>
      </c>
      <c r="D45">
        <v>14</v>
      </c>
      <c r="E45">
        <v>40</v>
      </c>
      <c r="F45" s="5">
        <v>4.2</v>
      </c>
    </row>
    <row r="46" spans="1:6">
      <c r="A46">
        <v>45</v>
      </c>
      <c r="B46" s="4">
        <v>45483</v>
      </c>
      <c r="C46">
        <v>4</v>
      </c>
      <c r="D46">
        <v>14</v>
      </c>
      <c r="E46">
        <v>100</v>
      </c>
      <c r="F46" s="5">
        <v>4.03</v>
      </c>
    </row>
    <row r="47" spans="1:6">
      <c r="A47">
        <v>46</v>
      </c>
      <c r="B47" s="4">
        <v>45484</v>
      </c>
      <c r="C47">
        <v>3</v>
      </c>
      <c r="D47">
        <v>13</v>
      </c>
      <c r="E47">
        <v>30</v>
      </c>
      <c r="F47" s="5">
        <v>10.39</v>
      </c>
    </row>
    <row r="48" spans="1:6">
      <c r="A48">
        <v>47</v>
      </c>
      <c r="B48" s="4">
        <v>45360</v>
      </c>
      <c r="C48">
        <v>7</v>
      </c>
      <c r="D48">
        <v>18</v>
      </c>
      <c r="E48">
        <v>80</v>
      </c>
      <c r="F48" s="5">
        <v>8.69</v>
      </c>
    </row>
    <row r="49" spans="1:6">
      <c r="A49">
        <v>48</v>
      </c>
      <c r="B49" s="4">
        <v>45493</v>
      </c>
      <c r="C49">
        <v>7</v>
      </c>
      <c r="D49">
        <v>18</v>
      </c>
      <c r="E49">
        <v>40</v>
      </c>
      <c r="F49" s="5">
        <v>9.4</v>
      </c>
    </row>
    <row r="50" spans="1:6">
      <c r="A50">
        <v>49</v>
      </c>
      <c r="B50" s="4">
        <v>45293</v>
      </c>
      <c r="C50">
        <v>1</v>
      </c>
      <c r="D50">
        <v>8</v>
      </c>
      <c r="E50">
        <v>20</v>
      </c>
      <c r="F50" s="5">
        <v>5.39</v>
      </c>
    </row>
    <row r="51" spans="1:6">
      <c r="A51">
        <v>50</v>
      </c>
      <c r="B51" s="4">
        <v>45636</v>
      </c>
      <c r="C51">
        <v>6</v>
      </c>
      <c r="D51">
        <v>15</v>
      </c>
      <c r="E51">
        <v>100</v>
      </c>
      <c r="F51" s="5">
        <v>7.13</v>
      </c>
    </row>
    <row r="52" spans="1:6">
      <c r="A52">
        <v>51</v>
      </c>
      <c r="B52" s="4">
        <v>45418</v>
      </c>
      <c r="C52">
        <v>1</v>
      </c>
      <c r="D52">
        <v>8</v>
      </c>
      <c r="E52">
        <v>120</v>
      </c>
      <c r="F52" s="5">
        <v>4.9800000000000004</v>
      </c>
    </row>
    <row r="53" spans="1:6">
      <c r="A53">
        <v>52</v>
      </c>
      <c r="B53" s="4">
        <v>45388</v>
      </c>
      <c r="C53">
        <v>3</v>
      </c>
      <c r="D53">
        <v>9</v>
      </c>
      <c r="E53">
        <v>30</v>
      </c>
      <c r="F53" s="5">
        <v>2.86</v>
      </c>
    </row>
    <row r="54" spans="1:6">
      <c r="A54">
        <v>53</v>
      </c>
      <c r="B54" s="4">
        <v>45606</v>
      </c>
      <c r="C54">
        <v>4</v>
      </c>
      <c r="D54">
        <v>14</v>
      </c>
      <c r="E54">
        <v>20</v>
      </c>
      <c r="F54" s="5">
        <v>3.93</v>
      </c>
    </row>
    <row r="55" spans="1:6">
      <c r="A55">
        <v>54</v>
      </c>
      <c r="B55" s="4">
        <v>45343</v>
      </c>
      <c r="C55">
        <v>4</v>
      </c>
      <c r="D55">
        <v>3</v>
      </c>
      <c r="E55">
        <v>20</v>
      </c>
      <c r="F55" s="5">
        <v>12.1</v>
      </c>
    </row>
    <row r="56" spans="1:6">
      <c r="A56">
        <v>55</v>
      </c>
      <c r="B56" s="4">
        <v>45417</v>
      </c>
      <c r="C56">
        <v>1</v>
      </c>
      <c r="D56">
        <v>2</v>
      </c>
      <c r="E56">
        <v>20</v>
      </c>
      <c r="F56" s="5">
        <v>18.04</v>
      </c>
    </row>
    <row r="57" spans="1:6">
      <c r="A57">
        <v>56</v>
      </c>
      <c r="B57" s="4">
        <v>45568</v>
      </c>
      <c r="C57">
        <v>1</v>
      </c>
      <c r="D57">
        <v>8</v>
      </c>
      <c r="E57">
        <v>50</v>
      </c>
      <c r="F57" s="5">
        <v>5.24</v>
      </c>
    </row>
    <row r="58" spans="1:6">
      <c r="A58">
        <v>57</v>
      </c>
      <c r="B58" s="4">
        <v>45363</v>
      </c>
      <c r="C58">
        <v>1</v>
      </c>
      <c r="D58">
        <v>2</v>
      </c>
      <c r="E58">
        <v>60</v>
      </c>
      <c r="F58" s="5">
        <v>17.649999999999999</v>
      </c>
    </row>
    <row r="59" spans="1:6">
      <c r="A59">
        <v>58</v>
      </c>
      <c r="B59" s="4">
        <v>45455</v>
      </c>
      <c r="C59">
        <v>2</v>
      </c>
      <c r="D59">
        <v>19</v>
      </c>
      <c r="E59">
        <v>80</v>
      </c>
      <c r="F59" s="5">
        <v>4.9000000000000004</v>
      </c>
    </row>
    <row r="60" spans="1:6">
      <c r="A60">
        <v>59</v>
      </c>
      <c r="B60" s="4">
        <v>45630</v>
      </c>
      <c r="C60">
        <v>4</v>
      </c>
      <c r="D60">
        <v>5</v>
      </c>
      <c r="E60">
        <v>50</v>
      </c>
      <c r="F60" s="5">
        <v>16.059999999999999</v>
      </c>
    </row>
    <row r="61" spans="1:6">
      <c r="A61">
        <v>60</v>
      </c>
      <c r="B61" s="4">
        <v>45323</v>
      </c>
      <c r="C61">
        <v>3</v>
      </c>
      <c r="D61">
        <v>9</v>
      </c>
      <c r="E61">
        <v>40</v>
      </c>
      <c r="F61" s="5">
        <v>3.09</v>
      </c>
    </row>
    <row r="62" spans="1:6">
      <c r="A62">
        <v>61</v>
      </c>
      <c r="B62" s="4">
        <v>45576</v>
      </c>
      <c r="C62">
        <v>4</v>
      </c>
      <c r="D62">
        <v>14</v>
      </c>
      <c r="E62">
        <v>120</v>
      </c>
      <c r="F62" s="5">
        <v>3.82</v>
      </c>
    </row>
    <row r="63" spans="1:6">
      <c r="A63">
        <v>62</v>
      </c>
      <c r="B63" s="4">
        <v>45621</v>
      </c>
      <c r="C63">
        <v>5</v>
      </c>
      <c r="D63">
        <v>12</v>
      </c>
      <c r="E63">
        <v>100</v>
      </c>
      <c r="F63" s="5">
        <v>6.31</v>
      </c>
    </row>
    <row r="64" spans="1:6">
      <c r="A64">
        <v>63</v>
      </c>
      <c r="B64" s="4">
        <v>45648</v>
      </c>
      <c r="C64">
        <v>6</v>
      </c>
      <c r="D64">
        <v>11</v>
      </c>
      <c r="E64">
        <v>100</v>
      </c>
      <c r="F64" s="5">
        <v>3.01</v>
      </c>
    </row>
    <row r="65" spans="1:6">
      <c r="A65">
        <v>64</v>
      </c>
      <c r="B65" s="4">
        <v>45484</v>
      </c>
      <c r="C65">
        <v>7</v>
      </c>
      <c r="D65">
        <v>10</v>
      </c>
      <c r="E65">
        <v>40</v>
      </c>
      <c r="F65" s="5">
        <v>1.26</v>
      </c>
    </row>
    <row r="66" spans="1:6">
      <c r="A66">
        <v>65</v>
      </c>
      <c r="B66" s="4">
        <v>45415</v>
      </c>
      <c r="C66">
        <v>2</v>
      </c>
      <c r="D66">
        <v>16</v>
      </c>
      <c r="E66">
        <v>50</v>
      </c>
      <c r="F66" s="5">
        <v>17.8</v>
      </c>
    </row>
    <row r="67" spans="1:6">
      <c r="A67">
        <v>66</v>
      </c>
      <c r="B67" s="4">
        <v>45529</v>
      </c>
      <c r="C67">
        <v>4</v>
      </c>
      <c r="D67">
        <v>5</v>
      </c>
      <c r="E67">
        <v>20</v>
      </c>
      <c r="F67" s="5">
        <v>16.37</v>
      </c>
    </row>
    <row r="68" spans="1:6">
      <c r="A68">
        <v>67</v>
      </c>
      <c r="B68" s="4">
        <v>45577</v>
      </c>
      <c r="C68">
        <v>4</v>
      </c>
      <c r="D68">
        <v>14</v>
      </c>
      <c r="E68">
        <v>40</v>
      </c>
      <c r="F68" s="5">
        <v>4</v>
      </c>
    </row>
    <row r="69" spans="1:6">
      <c r="A69">
        <v>68</v>
      </c>
      <c r="B69" s="4">
        <v>45396</v>
      </c>
      <c r="C69">
        <v>3</v>
      </c>
      <c r="D69">
        <v>9</v>
      </c>
      <c r="E69">
        <v>80</v>
      </c>
      <c r="F69" s="5">
        <v>3.1</v>
      </c>
    </row>
    <row r="70" spans="1:6">
      <c r="A70">
        <v>69</v>
      </c>
      <c r="B70" s="4">
        <v>45481</v>
      </c>
      <c r="C70">
        <v>6</v>
      </c>
      <c r="D70">
        <v>15</v>
      </c>
      <c r="E70">
        <v>30</v>
      </c>
      <c r="F70" s="5">
        <v>7.14</v>
      </c>
    </row>
    <row r="71" spans="1:6">
      <c r="A71">
        <v>70</v>
      </c>
      <c r="B71" s="4">
        <v>45318</v>
      </c>
      <c r="C71">
        <v>5</v>
      </c>
      <c r="D71">
        <v>7</v>
      </c>
      <c r="E71">
        <v>60</v>
      </c>
      <c r="F71" s="5">
        <v>1.5</v>
      </c>
    </row>
    <row r="72" spans="1:6">
      <c r="A72">
        <v>71</v>
      </c>
      <c r="B72" s="4">
        <v>45600</v>
      </c>
      <c r="C72">
        <v>6</v>
      </c>
      <c r="D72">
        <v>20</v>
      </c>
      <c r="E72">
        <v>20</v>
      </c>
      <c r="F72" s="5">
        <v>1.6</v>
      </c>
    </row>
    <row r="73" spans="1:6">
      <c r="A73">
        <v>72</v>
      </c>
      <c r="B73" s="4">
        <v>45592</v>
      </c>
      <c r="C73">
        <v>5</v>
      </c>
      <c r="D73">
        <v>7</v>
      </c>
      <c r="E73">
        <v>50</v>
      </c>
      <c r="F73" s="5">
        <v>1.52</v>
      </c>
    </row>
    <row r="74" spans="1:6">
      <c r="A74">
        <v>73</v>
      </c>
      <c r="B74" s="4">
        <v>45447</v>
      </c>
      <c r="C74">
        <v>6</v>
      </c>
      <c r="D74">
        <v>11</v>
      </c>
      <c r="E74">
        <v>20</v>
      </c>
      <c r="F74" s="5">
        <v>2.93</v>
      </c>
    </row>
    <row r="75" spans="1:6">
      <c r="A75">
        <v>74</v>
      </c>
      <c r="B75" s="4">
        <v>45352</v>
      </c>
      <c r="C75">
        <v>5</v>
      </c>
      <c r="D75">
        <v>7</v>
      </c>
      <c r="E75">
        <v>120</v>
      </c>
      <c r="F75" s="5">
        <v>1.6</v>
      </c>
    </row>
    <row r="76" spans="1:6">
      <c r="A76">
        <v>75</v>
      </c>
      <c r="B76" s="4">
        <v>45652</v>
      </c>
      <c r="C76">
        <v>6</v>
      </c>
      <c r="D76">
        <v>20</v>
      </c>
      <c r="E76">
        <v>50</v>
      </c>
      <c r="F76" s="5">
        <v>1.5</v>
      </c>
    </row>
    <row r="77" spans="1:6">
      <c r="A77">
        <v>76</v>
      </c>
      <c r="B77" s="4">
        <v>45574</v>
      </c>
      <c r="C77">
        <v>1</v>
      </c>
      <c r="D77">
        <v>8</v>
      </c>
      <c r="E77">
        <v>80</v>
      </c>
      <c r="F77" s="5">
        <v>5.25</v>
      </c>
    </row>
    <row r="78" spans="1:6">
      <c r="A78">
        <v>77</v>
      </c>
      <c r="B78" s="4">
        <v>45530</v>
      </c>
      <c r="C78">
        <v>3</v>
      </c>
      <c r="D78">
        <v>13</v>
      </c>
      <c r="E78">
        <v>80</v>
      </c>
      <c r="F78" s="5">
        <v>9.9</v>
      </c>
    </row>
    <row r="79" spans="1:6">
      <c r="A79">
        <v>78</v>
      </c>
      <c r="B79" s="4">
        <v>45554</v>
      </c>
      <c r="C79">
        <v>5</v>
      </c>
      <c r="D79">
        <v>12</v>
      </c>
      <c r="E79">
        <v>120</v>
      </c>
      <c r="F79" s="5">
        <v>6.06</v>
      </c>
    </row>
    <row r="80" spans="1:6">
      <c r="A80">
        <v>79</v>
      </c>
      <c r="B80" s="4">
        <v>45455</v>
      </c>
      <c r="C80">
        <v>2</v>
      </c>
      <c r="D80">
        <v>16</v>
      </c>
      <c r="E80">
        <v>50</v>
      </c>
      <c r="F80" s="5">
        <v>17.97</v>
      </c>
    </row>
    <row r="81" spans="1:6">
      <c r="A81">
        <v>80</v>
      </c>
      <c r="B81" s="4">
        <v>45315</v>
      </c>
      <c r="C81">
        <v>4</v>
      </c>
      <c r="D81">
        <v>14</v>
      </c>
      <c r="E81">
        <v>50</v>
      </c>
      <c r="F81" s="5">
        <v>4.1900000000000004</v>
      </c>
    </row>
    <row r="82" spans="1:6">
      <c r="A82">
        <v>81</v>
      </c>
      <c r="B82" s="4">
        <v>45425</v>
      </c>
      <c r="C82">
        <v>4</v>
      </c>
      <c r="D82">
        <v>1</v>
      </c>
      <c r="E82">
        <v>100</v>
      </c>
      <c r="F82" s="5">
        <v>7.91</v>
      </c>
    </row>
    <row r="83" spans="1:6">
      <c r="A83">
        <v>82</v>
      </c>
      <c r="B83" s="4">
        <v>45460</v>
      </c>
      <c r="C83">
        <v>5</v>
      </c>
      <c r="D83">
        <v>7</v>
      </c>
      <c r="E83">
        <v>50</v>
      </c>
      <c r="F83" s="5">
        <v>1.5</v>
      </c>
    </row>
    <row r="84" spans="1:6">
      <c r="A84">
        <v>83</v>
      </c>
      <c r="B84" s="4">
        <v>45547</v>
      </c>
      <c r="C84">
        <v>1</v>
      </c>
      <c r="D84">
        <v>8</v>
      </c>
      <c r="E84">
        <v>80</v>
      </c>
      <c r="F84" s="5">
        <v>4.92</v>
      </c>
    </row>
    <row r="85" spans="1:6">
      <c r="A85">
        <v>84</v>
      </c>
      <c r="B85" s="4">
        <v>45620</v>
      </c>
      <c r="C85">
        <v>2</v>
      </c>
      <c r="D85">
        <v>16</v>
      </c>
      <c r="E85">
        <v>120</v>
      </c>
      <c r="F85" s="5">
        <v>18.18</v>
      </c>
    </row>
    <row r="86" spans="1:6">
      <c r="A86">
        <v>85</v>
      </c>
      <c r="B86" s="4">
        <v>45378</v>
      </c>
      <c r="C86">
        <v>5</v>
      </c>
      <c r="D86">
        <v>12</v>
      </c>
      <c r="E86">
        <v>40</v>
      </c>
      <c r="F86" s="5">
        <v>6.26</v>
      </c>
    </row>
    <row r="87" spans="1:6">
      <c r="A87">
        <v>86</v>
      </c>
      <c r="B87" s="4">
        <v>45386</v>
      </c>
      <c r="C87">
        <v>2</v>
      </c>
      <c r="D87">
        <v>16</v>
      </c>
      <c r="E87">
        <v>20</v>
      </c>
      <c r="F87" s="5">
        <v>18.329999999999998</v>
      </c>
    </row>
    <row r="88" spans="1:6">
      <c r="A88">
        <v>87</v>
      </c>
      <c r="B88" s="4">
        <v>45634</v>
      </c>
      <c r="C88">
        <v>4</v>
      </c>
      <c r="D88">
        <v>3</v>
      </c>
      <c r="E88">
        <v>20</v>
      </c>
      <c r="F88" s="5">
        <v>12.59</v>
      </c>
    </row>
    <row r="89" spans="1:6">
      <c r="A89">
        <v>88</v>
      </c>
      <c r="B89" s="4">
        <v>45362</v>
      </c>
      <c r="C89">
        <v>4</v>
      </c>
      <c r="D89">
        <v>14</v>
      </c>
      <c r="E89">
        <v>50</v>
      </c>
      <c r="F89" s="5">
        <v>3.84</v>
      </c>
    </row>
    <row r="90" spans="1:6">
      <c r="A90">
        <v>89</v>
      </c>
      <c r="B90" s="4">
        <v>45296</v>
      </c>
      <c r="C90">
        <v>4</v>
      </c>
      <c r="D90">
        <v>5</v>
      </c>
      <c r="E90">
        <v>50</v>
      </c>
      <c r="F90" s="5">
        <v>16.25</v>
      </c>
    </row>
    <row r="91" spans="1:6">
      <c r="A91">
        <v>90</v>
      </c>
      <c r="B91" s="4">
        <v>45322</v>
      </c>
      <c r="C91">
        <v>5</v>
      </c>
      <c r="D91">
        <v>12</v>
      </c>
      <c r="E91">
        <v>120</v>
      </c>
      <c r="F91" s="5">
        <v>6.21</v>
      </c>
    </row>
    <row r="92" spans="1:6">
      <c r="A92">
        <v>91</v>
      </c>
      <c r="B92" s="4">
        <v>45295</v>
      </c>
      <c r="C92">
        <v>4</v>
      </c>
      <c r="D92">
        <v>1</v>
      </c>
      <c r="E92">
        <v>100</v>
      </c>
      <c r="F92" s="5">
        <v>7.61</v>
      </c>
    </row>
    <row r="93" spans="1:6">
      <c r="A93">
        <v>92</v>
      </c>
      <c r="B93" s="4">
        <v>45432</v>
      </c>
      <c r="C93">
        <v>2</v>
      </c>
      <c r="D93">
        <v>17</v>
      </c>
      <c r="E93">
        <v>60</v>
      </c>
      <c r="F93" s="5">
        <v>5.71</v>
      </c>
    </row>
    <row r="94" spans="1:6">
      <c r="A94">
        <v>93</v>
      </c>
      <c r="B94" s="4">
        <v>45383</v>
      </c>
      <c r="C94">
        <v>4</v>
      </c>
      <c r="D94">
        <v>14</v>
      </c>
      <c r="E94">
        <v>30</v>
      </c>
      <c r="F94" s="5">
        <v>4.28</v>
      </c>
    </row>
    <row r="95" spans="1:6">
      <c r="A95">
        <v>94</v>
      </c>
      <c r="B95" s="4">
        <v>45368</v>
      </c>
      <c r="C95">
        <v>2</v>
      </c>
      <c r="D95">
        <v>17</v>
      </c>
      <c r="E95">
        <v>50</v>
      </c>
      <c r="F95" s="5">
        <v>5.85</v>
      </c>
    </row>
    <row r="96" spans="1:6">
      <c r="A96">
        <v>95</v>
      </c>
      <c r="B96" s="4">
        <v>45421</v>
      </c>
      <c r="C96">
        <v>2</v>
      </c>
      <c r="D96">
        <v>17</v>
      </c>
      <c r="E96">
        <v>80</v>
      </c>
      <c r="F96" s="5">
        <v>5.91</v>
      </c>
    </row>
    <row r="97" spans="1:6">
      <c r="A97">
        <v>96</v>
      </c>
      <c r="B97" s="4">
        <v>45332</v>
      </c>
      <c r="C97">
        <v>3</v>
      </c>
      <c r="D97">
        <v>13</v>
      </c>
      <c r="E97">
        <v>80</v>
      </c>
      <c r="F97" s="5">
        <v>10.75</v>
      </c>
    </row>
    <row r="98" spans="1:6">
      <c r="A98">
        <v>97</v>
      </c>
      <c r="B98" s="4">
        <v>45581</v>
      </c>
      <c r="C98">
        <v>6</v>
      </c>
      <c r="D98">
        <v>15</v>
      </c>
      <c r="E98">
        <v>50</v>
      </c>
      <c r="F98" s="5">
        <v>7.55</v>
      </c>
    </row>
    <row r="99" spans="1:6">
      <c r="A99">
        <v>98</v>
      </c>
      <c r="B99" s="4">
        <v>45445</v>
      </c>
      <c r="C99">
        <v>1</v>
      </c>
      <c r="D99">
        <v>8</v>
      </c>
      <c r="E99">
        <v>30</v>
      </c>
      <c r="F99" s="5">
        <v>5.17</v>
      </c>
    </row>
    <row r="100" spans="1:6">
      <c r="A100">
        <v>99</v>
      </c>
      <c r="B100" s="4">
        <v>45339</v>
      </c>
      <c r="C100">
        <v>1</v>
      </c>
      <c r="D100">
        <v>2</v>
      </c>
      <c r="E100">
        <v>100</v>
      </c>
      <c r="F100" s="5">
        <v>17.989999999999998</v>
      </c>
    </row>
    <row r="101" spans="1:6">
      <c r="A101">
        <v>100</v>
      </c>
      <c r="B101" s="4">
        <v>45535</v>
      </c>
      <c r="C101">
        <v>7</v>
      </c>
      <c r="D101">
        <v>18</v>
      </c>
      <c r="E101">
        <v>20</v>
      </c>
      <c r="F101" s="5">
        <v>9.2899999999999991</v>
      </c>
    </row>
    <row r="102" spans="1:6">
      <c r="A102">
        <v>101</v>
      </c>
      <c r="B102" s="4">
        <v>45334</v>
      </c>
      <c r="C102">
        <v>8</v>
      </c>
      <c r="D102">
        <v>6</v>
      </c>
      <c r="E102">
        <v>120</v>
      </c>
      <c r="F102" s="5">
        <v>2.12</v>
      </c>
    </row>
    <row r="103" spans="1:6">
      <c r="A103">
        <v>102</v>
      </c>
      <c r="B103" s="4">
        <v>45581</v>
      </c>
      <c r="C103">
        <v>6</v>
      </c>
      <c r="D103">
        <v>11</v>
      </c>
      <c r="E103">
        <v>30</v>
      </c>
      <c r="F103" s="5">
        <v>3.2</v>
      </c>
    </row>
    <row r="104" spans="1:6">
      <c r="A104">
        <v>103</v>
      </c>
      <c r="B104" s="4">
        <v>45409</v>
      </c>
      <c r="C104">
        <v>1</v>
      </c>
      <c r="D104">
        <v>2</v>
      </c>
      <c r="E104">
        <v>50</v>
      </c>
      <c r="F104" s="5">
        <v>19.21</v>
      </c>
    </row>
    <row r="105" spans="1:6">
      <c r="A105">
        <v>104</v>
      </c>
      <c r="B105" s="4">
        <v>45535</v>
      </c>
      <c r="C105">
        <v>2</v>
      </c>
      <c r="D105">
        <v>19</v>
      </c>
      <c r="E105">
        <v>60</v>
      </c>
      <c r="F105" s="5">
        <v>4.78</v>
      </c>
    </row>
    <row r="106" spans="1:6">
      <c r="A106">
        <v>105</v>
      </c>
      <c r="B106" s="4">
        <v>45642</v>
      </c>
      <c r="C106">
        <v>4</v>
      </c>
      <c r="D106">
        <v>3</v>
      </c>
      <c r="E106">
        <v>60</v>
      </c>
      <c r="F106" s="5">
        <v>12.8</v>
      </c>
    </row>
    <row r="107" spans="1:6">
      <c r="A107">
        <v>106</v>
      </c>
      <c r="B107" s="4">
        <v>45628</v>
      </c>
      <c r="C107">
        <v>2</v>
      </c>
      <c r="D107">
        <v>19</v>
      </c>
      <c r="E107">
        <v>20</v>
      </c>
      <c r="F107" s="5">
        <v>4.87</v>
      </c>
    </row>
    <row r="108" spans="1:6">
      <c r="A108">
        <v>107</v>
      </c>
      <c r="B108" s="4">
        <v>45300</v>
      </c>
      <c r="C108">
        <v>6</v>
      </c>
      <c r="D108">
        <v>11</v>
      </c>
      <c r="E108">
        <v>50</v>
      </c>
      <c r="F108" s="5">
        <v>3.08</v>
      </c>
    </row>
    <row r="109" spans="1:6">
      <c r="A109">
        <v>108</v>
      </c>
      <c r="B109" s="4">
        <v>45331</v>
      </c>
      <c r="C109">
        <v>3</v>
      </c>
      <c r="D109">
        <v>13</v>
      </c>
      <c r="E109">
        <v>60</v>
      </c>
      <c r="F109" s="5">
        <v>9.7100000000000009</v>
      </c>
    </row>
    <row r="110" spans="1:6">
      <c r="A110">
        <v>109</v>
      </c>
      <c r="B110" s="4">
        <v>45582</v>
      </c>
      <c r="C110">
        <v>1</v>
      </c>
      <c r="D110">
        <v>8</v>
      </c>
      <c r="E110">
        <v>100</v>
      </c>
      <c r="F110" s="5">
        <v>5.19</v>
      </c>
    </row>
    <row r="111" spans="1:6">
      <c r="A111">
        <v>110</v>
      </c>
      <c r="B111" s="4">
        <v>45461</v>
      </c>
      <c r="C111">
        <v>7</v>
      </c>
      <c r="D111">
        <v>18</v>
      </c>
      <c r="E111">
        <v>100</v>
      </c>
      <c r="F111" s="5">
        <v>9.43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"/>
  <sheetViews>
    <sheetView workbookViewId="0"/>
  </sheetViews>
  <sheetFormatPr defaultRowHeight="14.25"/>
  <cols>
    <col min="1" max="1" width="12" customWidth="1"/>
    <col min="2" max="2" width="14" customWidth="1"/>
    <col min="3" max="3" width="20" customWidth="1"/>
    <col min="4" max="4" width="12" customWidth="1"/>
  </cols>
  <sheetData>
    <row r="1" spans="1:4" ht="15">
      <c r="A1" s="3" t="s">
        <v>133</v>
      </c>
      <c r="B1" s="3" t="s">
        <v>134</v>
      </c>
      <c r="C1" s="3" t="s">
        <v>135</v>
      </c>
      <c r="D1" s="3" t="s">
        <v>136</v>
      </c>
    </row>
    <row r="2" spans="1:4">
      <c r="A2">
        <v>1</v>
      </c>
      <c r="B2" s="4">
        <v>45296</v>
      </c>
      <c r="C2" t="s">
        <v>137</v>
      </c>
      <c r="D2" s="5">
        <v>1200</v>
      </c>
    </row>
    <row r="3" spans="1:4">
      <c r="A3">
        <v>2</v>
      </c>
      <c r="B3" s="4">
        <v>45308</v>
      </c>
      <c r="C3" t="s">
        <v>138</v>
      </c>
      <c r="D3" s="5">
        <v>3960</v>
      </c>
    </row>
    <row r="4" spans="1:4">
      <c r="A4">
        <v>3</v>
      </c>
      <c r="B4" s="4">
        <v>45303</v>
      </c>
      <c r="C4" t="s">
        <v>139</v>
      </c>
      <c r="D4" s="5">
        <v>1063</v>
      </c>
    </row>
    <row r="5" spans="1:4">
      <c r="A5">
        <v>4</v>
      </c>
      <c r="B5" s="4">
        <v>45295</v>
      </c>
      <c r="C5" t="s">
        <v>140</v>
      </c>
      <c r="D5" s="5">
        <v>207</v>
      </c>
    </row>
    <row r="6" spans="1:4">
      <c r="A6">
        <v>5</v>
      </c>
      <c r="B6" s="4">
        <v>45299</v>
      </c>
      <c r="C6" t="s">
        <v>141</v>
      </c>
      <c r="D6" s="5">
        <v>697</v>
      </c>
    </row>
    <row r="7" spans="1:4">
      <c r="A7">
        <v>6</v>
      </c>
      <c r="B7" s="4">
        <v>45302</v>
      </c>
      <c r="C7" t="s">
        <v>142</v>
      </c>
      <c r="D7" s="5">
        <v>99</v>
      </c>
    </row>
    <row r="8" spans="1:4">
      <c r="A8">
        <v>7</v>
      </c>
      <c r="B8" s="4">
        <v>45316</v>
      </c>
      <c r="C8" t="s">
        <v>143</v>
      </c>
      <c r="D8" s="5">
        <v>409</v>
      </c>
    </row>
    <row r="9" spans="1:4">
      <c r="A9">
        <v>8</v>
      </c>
      <c r="B9" s="4">
        <v>45342</v>
      </c>
      <c r="C9" t="s">
        <v>137</v>
      </c>
      <c r="D9" s="5">
        <v>1200</v>
      </c>
    </row>
    <row r="10" spans="1:4">
      <c r="A10">
        <v>9</v>
      </c>
      <c r="B10" s="4">
        <v>45335</v>
      </c>
      <c r="C10" t="s">
        <v>138</v>
      </c>
      <c r="D10" s="5">
        <v>5019</v>
      </c>
    </row>
    <row r="11" spans="1:4">
      <c r="A11">
        <v>10</v>
      </c>
      <c r="B11" s="4">
        <v>45333</v>
      </c>
      <c r="C11" t="s">
        <v>139</v>
      </c>
      <c r="D11" s="5">
        <v>1092</v>
      </c>
    </row>
    <row r="12" spans="1:4">
      <c r="A12">
        <v>11</v>
      </c>
      <c r="B12" s="4">
        <v>45343</v>
      </c>
      <c r="C12" t="s">
        <v>140</v>
      </c>
      <c r="D12" s="5">
        <v>195</v>
      </c>
    </row>
    <row r="13" spans="1:4">
      <c r="A13">
        <v>12</v>
      </c>
      <c r="B13" s="4">
        <v>45337</v>
      </c>
      <c r="C13" t="s">
        <v>141</v>
      </c>
      <c r="D13" s="5">
        <v>529</v>
      </c>
    </row>
    <row r="14" spans="1:4">
      <c r="A14">
        <v>13</v>
      </c>
      <c r="B14" s="4">
        <v>45330</v>
      </c>
      <c r="C14" t="s">
        <v>142</v>
      </c>
      <c r="D14" s="5">
        <v>205</v>
      </c>
    </row>
    <row r="15" spans="1:4">
      <c r="A15">
        <v>14</v>
      </c>
      <c r="B15" s="4">
        <v>45340</v>
      </c>
      <c r="C15" t="s">
        <v>143</v>
      </c>
      <c r="D15" s="5">
        <v>282</v>
      </c>
    </row>
    <row r="16" spans="1:4">
      <c r="A16">
        <v>15</v>
      </c>
      <c r="B16" s="4">
        <v>45364</v>
      </c>
      <c r="C16" t="s">
        <v>137</v>
      </c>
      <c r="D16" s="5">
        <v>1200</v>
      </c>
    </row>
    <row r="17" spans="1:4">
      <c r="A17">
        <v>16</v>
      </c>
      <c r="B17" s="4">
        <v>45357</v>
      </c>
      <c r="C17" t="s">
        <v>138</v>
      </c>
      <c r="D17" s="5">
        <v>4684</v>
      </c>
    </row>
    <row r="18" spans="1:4">
      <c r="A18">
        <v>17</v>
      </c>
      <c r="B18" s="4">
        <v>45370</v>
      </c>
      <c r="C18" t="s">
        <v>139</v>
      </c>
      <c r="D18" s="5">
        <v>996</v>
      </c>
    </row>
    <row r="19" spans="1:4">
      <c r="A19">
        <v>18</v>
      </c>
      <c r="B19" s="4">
        <v>45354</v>
      </c>
      <c r="C19" t="s">
        <v>140</v>
      </c>
      <c r="D19" s="5">
        <v>374</v>
      </c>
    </row>
    <row r="20" spans="1:4">
      <c r="A20">
        <v>19</v>
      </c>
      <c r="B20" s="4">
        <v>45361</v>
      </c>
      <c r="C20" t="s">
        <v>141</v>
      </c>
      <c r="D20" s="5">
        <v>883</v>
      </c>
    </row>
    <row r="21" spans="1:4">
      <c r="A21">
        <v>20</v>
      </c>
      <c r="B21" s="4">
        <v>45374</v>
      </c>
      <c r="C21" t="s">
        <v>142</v>
      </c>
      <c r="D21" s="5">
        <v>143</v>
      </c>
    </row>
    <row r="22" spans="1:4">
      <c r="A22">
        <v>21</v>
      </c>
      <c r="B22" s="4">
        <v>45354</v>
      </c>
      <c r="C22" t="s">
        <v>143</v>
      </c>
      <c r="D22" s="5">
        <v>137</v>
      </c>
    </row>
    <row r="23" spans="1:4">
      <c r="A23">
        <v>22</v>
      </c>
      <c r="B23" s="4">
        <v>45391</v>
      </c>
      <c r="C23" t="s">
        <v>137</v>
      </c>
      <c r="D23" s="5">
        <v>1200</v>
      </c>
    </row>
    <row r="24" spans="1:4">
      <c r="A24">
        <v>23</v>
      </c>
      <c r="B24" s="4">
        <v>45395</v>
      </c>
      <c r="C24" t="s">
        <v>138</v>
      </c>
      <c r="D24" s="5">
        <v>4115</v>
      </c>
    </row>
    <row r="25" spans="1:4">
      <c r="A25">
        <v>24</v>
      </c>
      <c r="B25" s="4">
        <v>45403</v>
      </c>
      <c r="C25" t="s">
        <v>139</v>
      </c>
      <c r="D25" s="5">
        <v>1028</v>
      </c>
    </row>
    <row r="26" spans="1:4">
      <c r="A26">
        <v>25</v>
      </c>
      <c r="B26" s="4">
        <v>45406</v>
      </c>
      <c r="C26" t="s">
        <v>140</v>
      </c>
      <c r="D26" s="5">
        <v>258</v>
      </c>
    </row>
    <row r="27" spans="1:4">
      <c r="A27">
        <v>26</v>
      </c>
      <c r="B27" s="4">
        <v>45393</v>
      </c>
      <c r="C27" t="s">
        <v>141</v>
      </c>
      <c r="D27" s="5">
        <v>648</v>
      </c>
    </row>
    <row r="28" spans="1:4">
      <c r="A28">
        <v>27</v>
      </c>
      <c r="B28" s="4">
        <v>45386</v>
      </c>
      <c r="C28" t="s">
        <v>142</v>
      </c>
      <c r="D28" s="5">
        <v>172</v>
      </c>
    </row>
    <row r="29" spans="1:4">
      <c r="A29">
        <v>28</v>
      </c>
      <c r="B29" s="4">
        <v>45383</v>
      </c>
      <c r="C29" t="s">
        <v>143</v>
      </c>
      <c r="D29" s="5">
        <v>146</v>
      </c>
    </row>
    <row r="30" spans="1:4">
      <c r="A30">
        <v>29</v>
      </c>
      <c r="B30" s="4">
        <v>45422</v>
      </c>
      <c r="C30" t="s">
        <v>137</v>
      </c>
      <c r="D30" s="5">
        <v>1200</v>
      </c>
    </row>
    <row r="31" spans="1:4">
      <c r="A31">
        <v>30</v>
      </c>
      <c r="B31" s="4">
        <v>45424</v>
      </c>
      <c r="C31" t="s">
        <v>138</v>
      </c>
      <c r="D31" s="5">
        <v>4710</v>
      </c>
    </row>
    <row r="32" spans="1:4">
      <c r="A32">
        <v>31</v>
      </c>
      <c r="B32" s="4">
        <v>45421</v>
      </c>
      <c r="C32" t="s">
        <v>139</v>
      </c>
      <c r="D32" s="5">
        <v>1079</v>
      </c>
    </row>
    <row r="33" spans="1:4">
      <c r="A33">
        <v>32</v>
      </c>
      <c r="B33" s="4">
        <v>45417</v>
      </c>
      <c r="C33" t="s">
        <v>140</v>
      </c>
      <c r="D33" s="5">
        <v>232</v>
      </c>
    </row>
    <row r="34" spans="1:4">
      <c r="A34">
        <v>33</v>
      </c>
      <c r="B34" s="4">
        <v>45418</v>
      </c>
      <c r="C34" t="s">
        <v>141</v>
      </c>
      <c r="D34" s="5">
        <v>339</v>
      </c>
    </row>
    <row r="35" spans="1:4">
      <c r="A35">
        <v>34</v>
      </c>
      <c r="B35" s="4">
        <v>45427</v>
      </c>
      <c r="C35" t="s">
        <v>142</v>
      </c>
      <c r="D35" s="5">
        <v>190</v>
      </c>
    </row>
    <row r="36" spans="1:4">
      <c r="A36">
        <v>35</v>
      </c>
      <c r="B36" s="4">
        <v>45430</v>
      </c>
      <c r="C36" t="s">
        <v>143</v>
      </c>
      <c r="D36" s="5">
        <v>385</v>
      </c>
    </row>
    <row r="37" spans="1:4">
      <c r="A37">
        <v>36</v>
      </c>
      <c r="B37" s="4">
        <v>45460</v>
      </c>
      <c r="C37" t="s">
        <v>137</v>
      </c>
      <c r="D37" s="5">
        <v>1200</v>
      </c>
    </row>
    <row r="38" spans="1:4">
      <c r="A38">
        <v>37</v>
      </c>
      <c r="B38" s="4">
        <v>45447</v>
      </c>
      <c r="C38" t="s">
        <v>138</v>
      </c>
      <c r="D38" s="5">
        <v>4635</v>
      </c>
    </row>
    <row r="39" spans="1:4">
      <c r="A39">
        <v>38</v>
      </c>
      <c r="B39" s="4">
        <v>45446</v>
      </c>
      <c r="C39" t="s">
        <v>139</v>
      </c>
      <c r="D39" s="5">
        <v>326</v>
      </c>
    </row>
    <row r="40" spans="1:4">
      <c r="A40">
        <v>39</v>
      </c>
      <c r="B40" s="4">
        <v>45461</v>
      </c>
      <c r="C40" t="s">
        <v>140</v>
      </c>
      <c r="D40" s="5">
        <v>361</v>
      </c>
    </row>
    <row r="41" spans="1:4">
      <c r="A41">
        <v>40</v>
      </c>
      <c r="B41" s="4">
        <v>45463</v>
      </c>
      <c r="C41" t="s">
        <v>141</v>
      </c>
      <c r="D41" s="5">
        <v>345</v>
      </c>
    </row>
    <row r="42" spans="1:4">
      <c r="A42">
        <v>41</v>
      </c>
      <c r="B42" s="4">
        <v>45454</v>
      </c>
      <c r="C42" t="s">
        <v>142</v>
      </c>
      <c r="D42" s="5">
        <v>233</v>
      </c>
    </row>
    <row r="43" spans="1:4">
      <c r="A43">
        <v>42</v>
      </c>
      <c r="B43" s="4">
        <v>45456</v>
      </c>
      <c r="C43" t="s">
        <v>143</v>
      </c>
      <c r="D43" s="5">
        <v>542</v>
      </c>
    </row>
    <row r="44" spans="1:4">
      <c r="A44">
        <v>43</v>
      </c>
      <c r="B44" s="4">
        <v>45474</v>
      </c>
      <c r="C44" t="s">
        <v>137</v>
      </c>
      <c r="D44" s="5">
        <v>1200</v>
      </c>
    </row>
    <row r="45" spans="1:4">
      <c r="A45">
        <v>44</v>
      </c>
      <c r="B45" s="4">
        <v>45487</v>
      </c>
      <c r="C45" t="s">
        <v>138</v>
      </c>
      <c r="D45" s="5">
        <v>4397</v>
      </c>
    </row>
    <row r="46" spans="1:4">
      <c r="A46">
        <v>45</v>
      </c>
      <c r="B46" s="4">
        <v>45498</v>
      </c>
      <c r="C46" t="s">
        <v>139</v>
      </c>
      <c r="D46" s="5">
        <v>697</v>
      </c>
    </row>
    <row r="47" spans="1:4">
      <c r="A47">
        <v>46</v>
      </c>
      <c r="B47" s="4">
        <v>45497</v>
      </c>
      <c r="C47" t="s">
        <v>140</v>
      </c>
      <c r="D47" s="5">
        <v>223</v>
      </c>
    </row>
    <row r="48" spans="1:4">
      <c r="A48">
        <v>47</v>
      </c>
      <c r="B48" s="4">
        <v>45481</v>
      </c>
      <c r="C48" t="s">
        <v>141</v>
      </c>
      <c r="D48" s="5">
        <v>822</v>
      </c>
    </row>
    <row r="49" spans="1:4">
      <c r="A49">
        <v>48</v>
      </c>
      <c r="B49" s="4">
        <v>45490</v>
      </c>
      <c r="C49" t="s">
        <v>142</v>
      </c>
      <c r="D49" s="5">
        <v>226</v>
      </c>
    </row>
    <row r="50" spans="1:4">
      <c r="A50">
        <v>49</v>
      </c>
      <c r="B50" s="4">
        <v>45495</v>
      </c>
      <c r="C50" t="s">
        <v>143</v>
      </c>
      <c r="D50" s="5">
        <v>186</v>
      </c>
    </row>
    <row r="51" spans="1:4">
      <c r="A51">
        <v>50</v>
      </c>
      <c r="B51" s="4">
        <v>45517</v>
      </c>
      <c r="C51" t="s">
        <v>137</v>
      </c>
      <c r="D51" s="5">
        <v>1200</v>
      </c>
    </row>
    <row r="52" spans="1:4">
      <c r="A52">
        <v>51</v>
      </c>
      <c r="B52" s="4">
        <v>45509</v>
      </c>
      <c r="C52" t="s">
        <v>138</v>
      </c>
      <c r="D52" s="5">
        <v>4147</v>
      </c>
    </row>
    <row r="53" spans="1:4">
      <c r="A53">
        <v>52</v>
      </c>
      <c r="B53" s="4">
        <v>45514</v>
      </c>
      <c r="C53" t="s">
        <v>139</v>
      </c>
      <c r="D53" s="5">
        <v>575</v>
      </c>
    </row>
    <row r="54" spans="1:4">
      <c r="A54">
        <v>53</v>
      </c>
      <c r="B54" s="4">
        <v>45520</v>
      </c>
      <c r="C54" t="s">
        <v>140</v>
      </c>
      <c r="D54" s="5">
        <v>317</v>
      </c>
    </row>
    <row r="55" spans="1:4">
      <c r="A55">
        <v>54</v>
      </c>
      <c r="B55" s="4">
        <v>45507</v>
      </c>
      <c r="C55" t="s">
        <v>141</v>
      </c>
      <c r="D55" s="5">
        <v>399</v>
      </c>
    </row>
    <row r="56" spans="1:4">
      <c r="A56">
        <v>55</v>
      </c>
      <c r="B56" s="4">
        <v>45518</v>
      </c>
      <c r="C56" t="s">
        <v>142</v>
      </c>
      <c r="D56" s="5">
        <v>122</v>
      </c>
    </row>
    <row r="57" spans="1:4">
      <c r="A57">
        <v>56</v>
      </c>
      <c r="B57" s="4">
        <v>45518</v>
      </c>
      <c r="C57" t="s">
        <v>143</v>
      </c>
      <c r="D57" s="5">
        <v>241</v>
      </c>
    </row>
    <row r="58" spans="1:4">
      <c r="A58">
        <v>57</v>
      </c>
      <c r="B58" s="4">
        <v>45545</v>
      </c>
      <c r="C58" t="s">
        <v>137</v>
      </c>
      <c r="D58" s="5">
        <v>1200</v>
      </c>
    </row>
    <row r="59" spans="1:4">
      <c r="A59">
        <v>58</v>
      </c>
      <c r="B59" s="4">
        <v>45538</v>
      </c>
      <c r="C59" t="s">
        <v>138</v>
      </c>
      <c r="D59" s="5">
        <v>4791</v>
      </c>
    </row>
    <row r="60" spans="1:4">
      <c r="A60">
        <v>59</v>
      </c>
      <c r="B60" s="4">
        <v>45544</v>
      </c>
      <c r="C60" t="s">
        <v>139</v>
      </c>
      <c r="D60" s="5">
        <v>669</v>
      </c>
    </row>
    <row r="61" spans="1:4">
      <c r="A61">
        <v>60</v>
      </c>
      <c r="B61" s="4">
        <v>45559</v>
      </c>
      <c r="C61" t="s">
        <v>140</v>
      </c>
      <c r="D61" s="5">
        <v>306</v>
      </c>
    </row>
    <row r="62" spans="1:4">
      <c r="A62">
        <v>61</v>
      </c>
      <c r="B62" s="4">
        <v>45551</v>
      </c>
      <c r="C62" t="s">
        <v>141</v>
      </c>
      <c r="D62" s="5">
        <v>890</v>
      </c>
    </row>
    <row r="63" spans="1:4">
      <c r="A63">
        <v>62</v>
      </c>
      <c r="B63" s="4">
        <v>45555</v>
      </c>
      <c r="C63" t="s">
        <v>142</v>
      </c>
      <c r="D63" s="5">
        <v>232</v>
      </c>
    </row>
    <row r="64" spans="1:4">
      <c r="A64">
        <v>63</v>
      </c>
      <c r="B64" s="4">
        <v>45550</v>
      </c>
      <c r="C64" t="s">
        <v>143</v>
      </c>
      <c r="D64" s="5">
        <v>200</v>
      </c>
    </row>
    <row r="65" spans="1:4">
      <c r="A65">
        <v>64</v>
      </c>
      <c r="B65" s="4">
        <v>45569</v>
      </c>
      <c r="C65" t="s">
        <v>137</v>
      </c>
      <c r="D65" s="5">
        <v>1200</v>
      </c>
    </row>
    <row r="66" spans="1:4">
      <c r="A66">
        <v>65</v>
      </c>
      <c r="B66" s="4">
        <v>45575</v>
      </c>
      <c r="C66" t="s">
        <v>138</v>
      </c>
      <c r="D66" s="5">
        <v>4077</v>
      </c>
    </row>
    <row r="67" spans="1:4">
      <c r="A67">
        <v>66</v>
      </c>
      <c r="B67" s="4">
        <v>45578</v>
      </c>
      <c r="C67" t="s">
        <v>139</v>
      </c>
      <c r="D67" s="5">
        <v>306</v>
      </c>
    </row>
    <row r="68" spans="1:4">
      <c r="A68">
        <v>67</v>
      </c>
      <c r="B68" s="4">
        <v>45585</v>
      </c>
      <c r="C68" t="s">
        <v>140</v>
      </c>
      <c r="D68" s="5">
        <v>350</v>
      </c>
    </row>
    <row r="69" spans="1:4">
      <c r="A69">
        <v>68</v>
      </c>
      <c r="B69" s="4">
        <v>45576</v>
      </c>
      <c r="C69" t="s">
        <v>141</v>
      </c>
      <c r="D69" s="5">
        <v>639</v>
      </c>
    </row>
    <row r="70" spans="1:4">
      <c r="A70">
        <v>69</v>
      </c>
      <c r="B70" s="4">
        <v>45576</v>
      </c>
      <c r="C70" t="s">
        <v>142</v>
      </c>
      <c r="D70" s="5">
        <v>192</v>
      </c>
    </row>
    <row r="71" spans="1:4">
      <c r="A71">
        <v>70</v>
      </c>
      <c r="B71" s="4">
        <v>45586</v>
      </c>
      <c r="C71" t="s">
        <v>143</v>
      </c>
      <c r="D71" s="5">
        <v>320</v>
      </c>
    </row>
    <row r="72" spans="1:4">
      <c r="A72">
        <v>71</v>
      </c>
      <c r="B72" s="4">
        <v>45616</v>
      </c>
      <c r="C72" t="s">
        <v>137</v>
      </c>
      <c r="D72" s="5">
        <v>1200</v>
      </c>
    </row>
    <row r="73" spans="1:4">
      <c r="A73">
        <v>72</v>
      </c>
      <c r="B73" s="4">
        <v>45606</v>
      </c>
      <c r="C73" t="s">
        <v>138</v>
      </c>
      <c r="D73" s="5">
        <v>4078</v>
      </c>
    </row>
    <row r="74" spans="1:4">
      <c r="A74">
        <v>73</v>
      </c>
      <c r="B74" s="4">
        <v>45616</v>
      </c>
      <c r="C74" t="s">
        <v>139</v>
      </c>
      <c r="D74" s="5">
        <v>628</v>
      </c>
    </row>
    <row r="75" spans="1:4">
      <c r="A75">
        <v>74</v>
      </c>
      <c r="B75" s="4">
        <v>45612</v>
      </c>
      <c r="C75" t="s">
        <v>140</v>
      </c>
      <c r="D75" s="5">
        <v>282</v>
      </c>
    </row>
    <row r="76" spans="1:4">
      <c r="A76">
        <v>75</v>
      </c>
      <c r="B76" s="4">
        <v>45602</v>
      </c>
      <c r="C76" t="s">
        <v>141</v>
      </c>
      <c r="D76" s="5">
        <v>571</v>
      </c>
    </row>
    <row r="77" spans="1:4">
      <c r="A77">
        <v>76</v>
      </c>
      <c r="B77" s="4">
        <v>45607</v>
      </c>
      <c r="C77" t="s">
        <v>142</v>
      </c>
      <c r="D77" s="5">
        <v>181</v>
      </c>
    </row>
    <row r="78" spans="1:4">
      <c r="A78">
        <v>77</v>
      </c>
      <c r="B78" s="4">
        <v>45620</v>
      </c>
      <c r="C78" t="s">
        <v>143</v>
      </c>
      <c r="D78" s="5">
        <v>249</v>
      </c>
    </row>
    <row r="79" spans="1:4">
      <c r="A79">
        <v>78</v>
      </c>
      <c r="B79" s="4">
        <v>45649</v>
      </c>
      <c r="C79" t="s">
        <v>137</v>
      </c>
      <c r="D79" s="5">
        <v>1200</v>
      </c>
    </row>
    <row r="80" spans="1:4">
      <c r="A80">
        <v>79</v>
      </c>
      <c r="B80" s="4">
        <v>45642</v>
      </c>
      <c r="C80" t="s">
        <v>138</v>
      </c>
      <c r="D80" s="5">
        <v>5096</v>
      </c>
    </row>
    <row r="81" spans="1:4">
      <c r="A81">
        <v>80</v>
      </c>
      <c r="B81" s="4">
        <v>45634</v>
      </c>
      <c r="C81" t="s">
        <v>139</v>
      </c>
      <c r="D81" s="5">
        <v>889</v>
      </c>
    </row>
    <row r="82" spans="1:4">
      <c r="A82">
        <v>81</v>
      </c>
      <c r="B82" s="4">
        <v>45639</v>
      </c>
      <c r="C82" t="s">
        <v>140</v>
      </c>
      <c r="D82" s="5">
        <v>346</v>
      </c>
    </row>
    <row r="83" spans="1:4">
      <c r="A83">
        <v>82</v>
      </c>
      <c r="B83" s="4">
        <v>45639</v>
      </c>
      <c r="C83" t="s">
        <v>141</v>
      </c>
      <c r="D83" s="5">
        <v>537</v>
      </c>
    </row>
    <row r="84" spans="1:4">
      <c r="A84">
        <v>83</v>
      </c>
      <c r="B84" s="4">
        <v>45630</v>
      </c>
      <c r="C84" t="s">
        <v>142</v>
      </c>
      <c r="D84" s="5">
        <v>173</v>
      </c>
    </row>
    <row r="85" spans="1:4">
      <c r="A85">
        <v>84</v>
      </c>
      <c r="B85" s="4">
        <v>45645</v>
      </c>
      <c r="C85" t="s">
        <v>143</v>
      </c>
      <c r="D85" s="5">
        <v>577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1"/>
  <sheetViews>
    <sheetView workbookViewId="0"/>
  </sheetViews>
  <sheetFormatPr defaultRowHeight="14.25"/>
  <cols>
    <col min="1" max="2" width="12" customWidth="1"/>
    <col min="3" max="4" width="14" customWidth="1"/>
    <col min="5" max="5" width="18" customWidth="1"/>
  </cols>
  <sheetData>
    <row r="1" spans="1:5" ht="15">
      <c r="A1" s="3" t="s">
        <v>144</v>
      </c>
      <c r="B1" s="3" t="s">
        <v>16</v>
      </c>
      <c r="C1" s="3" t="s">
        <v>145</v>
      </c>
      <c r="D1" s="3" t="s">
        <v>146</v>
      </c>
      <c r="E1" s="3" t="s">
        <v>147</v>
      </c>
    </row>
    <row r="2" spans="1:5">
      <c r="A2">
        <v>1</v>
      </c>
      <c r="B2">
        <v>13</v>
      </c>
      <c r="C2" s="4">
        <v>45595</v>
      </c>
      <c r="D2" s="5">
        <v>947.51</v>
      </c>
      <c r="E2" t="s">
        <v>148</v>
      </c>
    </row>
    <row r="3" spans="1:5">
      <c r="A3">
        <v>2</v>
      </c>
      <c r="B3">
        <v>36</v>
      </c>
      <c r="C3" s="4">
        <v>45305</v>
      </c>
      <c r="D3" s="5">
        <v>907.23</v>
      </c>
      <c r="E3" t="s">
        <v>149</v>
      </c>
    </row>
    <row r="4" spans="1:5">
      <c r="A4">
        <v>3</v>
      </c>
      <c r="B4">
        <v>14</v>
      </c>
      <c r="C4" s="4">
        <v>45516</v>
      </c>
      <c r="D4" s="5">
        <v>765.89</v>
      </c>
      <c r="E4" t="s">
        <v>150</v>
      </c>
    </row>
    <row r="5" spans="1:5">
      <c r="A5">
        <v>4</v>
      </c>
      <c r="B5">
        <v>27</v>
      </c>
      <c r="C5" s="4">
        <v>45636</v>
      </c>
      <c r="D5" s="5">
        <v>494.37</v>
      </c>
      <c r="E5" t="s">
        <v>151</v>
      </c>
    </row>
    <row r="6" spans="1:5">
      <c r="A6">
        <v>5</v>
      </c>
      <c r="B6">
        <v>16</v>
      </c>
      <c r="C6" s="4">
        <v>45421</v>
      </c>
      <c r="D6" s="5">
        <v>639.38</v>
      </c>
      <c r="E6" t="s">
        <v>149</v>
      </c>
    </row>
    <row r="7" spans="1:5">
      <c r="A7">
        <v>6</v>
      </c>
      <c r="B7">
        <v>25</v>
      </c>
      <c r="C7" s="4">
        <v>45329</v>
      </c>
      <c r="D7" s="5">
        <v>448.65</v>
      </c>
      <c r="E7" t="s">
        <v>149</v>
      </c>
    </row>
    <row r="8" spans="1:5">
      <c r="A8">
        <v>7</v>
      </c>
      <c r="B8">
        <v>38</v>
      </c>
      <c r="C8" s="4">
        <v>45497</v>
      </c>
      <c r="D8" s="5">
        <v>526.27</v>
      </c>
      <c r="E8" t="s">
        <v>149</v>
      </c>
    </row>
    <row r="9" spans="1:5">
      <c r="A9">
        <v>8</v>
      </c>
      <c r="B9">
        <v>35</v>
      </c>
      <c r="C9" s="4">
        <v>45310</v>
      </c>
      <c r="D9" s="5">
        <v>759.56</v>
      </c>
      <c r="E9" t="s">
        <v>151</v>
      </c>
    </row>
    <row r="10" spans="1:5">
      <c r="A10">
        <v>9</v>
      </c>
      <c r="B10">
        <v>35</v>
      </c>
      <c r="C10" s="4">
        <v>45596</v>
      </c>
      <c r="D10" s="5">
        <v>620.74</v>
      </c>
      <c r="E10" t="s">
        <v>150</v>
      </c>
    </row>
    <row r="11" spans="1:5">
      <c r="A11">
        <v>10</v>
      </c>
      <c r="B11">
        <v>7</v>
      </c>
      <c r="C11" s="4">
        <v>45419</v>
      </c>
      <c r="D11" s="5">
        <v>638.41999999999996</v>
      </c>
      <c r="E11" t="s">
        <v>151</v>
      </c>
    </row>
    <row r="12" spans="1:5">
      <c r="A12">
        <v>11</v>
      </c>
      <c r="B12">
        <v>11</v>
      </c>
      <c r="C12" s="4">
        <v>45623</v>
      </c>
      <c r="D12" s="5">
        <v>597.54</v>
      </c>
      <c r="E12" t="s">
        <v>149</v>
      </c>
    </row>
    <row r="13" spans="1:5">
      <c r="A13">
        <v>12</v>
      </c>
      <c r="B13">
        <v>22</v>
      </c>
      <c r="C13" s="4">
        <v>45512</v>
      </c>
      <c r="D13" s="5">
        <v>136.41</v>
      </c>
      <c r="E13" t="s">
        <v>150</v>
      </c>
    </row>
    <row r="14" spans="1:5">
      <c r="A14">
        <v>13</v>
      </c>
      <c r="B14">
        <v>17</v>
      </c>
      <c r="C14" s="4">
        <v>45405</v>
      </c>
      <c r="D14" s="5">
        <v>504.72</v>
      </c>
      <c r="E14" t="s">
        <v>148</v>
      </c>
    </row>
    <row r="15" spans="1:5">
      <c r="A15">
        <v>14</v>
      </c>
      <c r="B15">
        <v>29</v>
      </c>
      <c r="C15" s="4">
        <v>45483</v>
      </c>
      <c r="D15" s="5">
        <v>395.93</v>
      </c>
      <c r="E15" t="s">
        <v>148</v>
      </c>
    </row>
    <row r="16" spans="1:5">
      <c r="A16">
        <v>15</v>
      </c>
      <c r="B16">
        <v>23</v>
      </c>
      <c r="C16" s="4">
        <v>45304</v>
      </c>
      <c r="D16" s="5">
        <v>479.32</v>
      </c>
      <c r="E16" t="s">
        <v>151</v>
      </c>
    </row>
    <row r="17" spans="1:5">
      <c r="A17">
        <v>16</v>
      </c>
      <c r="B17">
        <v>27</v>
      </c>
      <c r="C17" s="4">
        <v>45335</v>
      </c>
      <c r="D17" s="5">
        <v>145.62</v>
      </c>
      <c r="E17" t="s">
        <v>148</v>
      </c>
    </row>
    <row r="18" spans="1:5">
      <c r="A18">
        <v>17</v>
      </c>
      <c r="B18">
        <v>23</v>
      </c>
      <c r="C18" s="4">
        <v>45451</v>
      </c>
      <c r="D18" s="5">
        <v>352.19</v>
      </c>
      <c r="E18" t="s">
        <v>148</v>
      </c>
    </row>
    <row r="19" spans="1:5">
      <c r="A19">
        <v>18</v>
      </c>
      <c r="B19">
        <v>34</v>
      </c>
      <c r="C19" s="4">
        <v>45539</v>
      </c>
      <c r="D19" s="5">
        <v>356.95</v>
      </c>
      <c r="E19" t="s">
        <v>150</v>
      </c>
    </row>
    <row r="20" spans="1:5">
      <c r="A20">
        <v>19</v>
      </c>
      <c r="B20">
        <v>29</v>
      </c>
      <c r="C20" s="4">
        <v>45648</v>
      </c>
      <c r="D20" s="5">
        <v>451.73</v>
      </c>
      <c r="E20" t="s">
        <v>150</v>
      </c>
    </row>
    <row r="21" spans="1:5">
      <c r="A21">
        <v>20</v>
      </c>
      <c r="B21">
        <v>20</v>
      </c>
      <c r="C21" s="4">
        <v>45314</v>
      </c>
      <c r="D21" s="5">
        <v>777.27</v>
      </c>
      <c r="E21" t="s">
        <v>150</v>
      </c>
    </row>
    <row r="22" spans="1:5">
      <c r="A22">
        <v>21</v>
      </c>
      <c r="B22">
        <v>2</v>
      </c>
      <c r="C22" s="4">
        <v>45467</v>
      </c>
      <c r="D22" s="5">
        <v>629.65</v>
      </c>
      <c r="E22" t="s">
        <v>148</v>
      </c>
    </row>
    <row r="23" spans="1:5">
      <c r="A23">
        <v>22</v>
      </c>
      <c r="B23">
        <v>16</v>
      </c>
      <c r="C23" s="4">
        <v>45556</v>
      </c>
      <c r="D23" s="5">
        <v>198.75</v>
      </c>
      <c r="E23" t="s">
        <v>148</v>
      </c>
    </row>
    <row r="24" spans="1:5">
      <c r="A24">
        <v>23</v>
      </c>
      <c r="B24">
        <v>22</v>
      </c>
      <c r="C24" s="4">
        <v>45578</v>
      </c>
      <c r="D24" s="5">
        <v>428</v>
      </c>
      <c r="E24" t="s">
        <v>149</v>
      </c>
    </row>
    <row r="25" spans="1:5">
      <c r="A25">
        <v>24</v>
      </c>
      <c r="B25">
        <v>15</v>
      </c>
      <c r="C25" s="4">
        <v>45499</v>
      </c>
      <c r="D25" s="5">
        <v>613.08000000000004</v>
      </c>
      <c r="E25" t="s">
        <v>148</v>
      </c>
    </row>
    <row r="26" spans="1:5">
      <c r="A26">
        <v>25</v>
      </c>
      <c r="B26">
        <v>28</v>
      </c>
      <c r="C26" s="4">
        <v>45494</v>
      </c>
      <c r="D26" s="5">
        <v>66.56</v>
      </c>
      <c r="E26" t="s">
        <v>148</v>
      </c>
    </row>
    <row r="27" spans="1:5">
      <c r="A27">
        <v>26</v>
      </c>
      <c r="B27">
        <v>29</v>
      </c>
      <c r="C27" s="4">
        <v>45595</v>
      </c>
      <c r="D27" s="5">
        <v>430.89</v>
      </c>
      <c r="E27" t="s">
        <v>150</v>
      </c>
    </row>
    <row r="28" spans="1:5">
      <c r="A28">
        <v>27</v>
      </c>
      <c r="B28">
        <v>14</v>
      </c>
      <c r="C28" s="4">
        <v>45397</v>
      </c>
      <c r="D28" s="5">
        <v>293.29000000000002</v>
      </c>
      <c r="E28" t="s">
        <v>150</v>
      </c>
    </row>
    <row r="29" spans="1:5">
      <c r="A29">
        <v>28</v>
      </c>
      <c r="B29">
        <v>37</v>
      </c>
      <c r="C29" s="4">
        <v>45344</v>
      </c>
      <c r="D29" s="5">
        <v>767.55</v>
      </c>
      <c r="E29" t="s">
        <v>148</v>
      </c>
    </row>
    <row r="30" spans="1:5">
      <c r="A30">
        <v>29</v>
      </c>
      <c r="B30">
        <v>24</v>
      </c>
      <c r="C30" s="4">
        <v>45458</v>
      </c>
      <c r="D30" s="5">
        <v>219.34</v>
      </c>
      <c r="E30" t="s">
        <v>150</v>
      </c>
    </row>
    <row r="31" spans="1:5">
      <c r="A31">
        <v>30</v>
      </c>
      <c r="B31">
        <v>17</v>
      </c>
      <c r="C31" s="4">
        <v>45635</v>
      </c>
      <c r="D31" s="5">
        <v>825</v>
      </c>
      <c r="E31" t="s">
        <v>151</v>
      </c>
    </row>
    <row r="32" spans="1:5">
      <c r="A32">
        <v>31</v>
      </c>
      <c r="B32">
        <v>39</v>
      </c>
      <c r="C32" s="4">
        <v>45490</v>
      </c>
      <c r="D32" s="5">
        <v>596.29</v>
      </c>
      <c r="E32" t="s">
        <v>150</v>
      </c>
    </row>
    <row r="33" spans="1:5">
      <c r="A33">
        <v>32</v>
      </c>
      <c r="B33">
        <v>23</v>
      </c>
      <c r="C33" s="4">
        <v>45472</v>
      </c>
      <c r="D33" s="5">
        <v>809.42</v>
      </c>
      <c r="E33" t="s">
        <v>148</v>
      </c>
    </row>
    <row r="34" spans="1:5">
      <c r="A34">
        <v>33</v>
      </c>
      <c r="B34">
        <v>20</v>
      </c>
      <c r="C34" s="4">
        <v>45606</v>
      </c>
      <c r="D34" s="5">
        <v>577.04999999999995</v>
      </c>
      <c r="E34" t="s">
        <v>148</v>
      </c>
    </row>
    <row r="35" spans="1:5">
      <c r="A35">
        <v>34</v>
      </c>
      <c r="B35">
        <v>21</v>
      </c>
      <c r="C35" s="4">
        <v>45352</v>
      </c>
      <c r="D35" s="5">
        <v>257.10000000000002</v>
      </c>
      <c r="E35" t="s">
        <v>150</v>
      </c>
    </row>
    <row r="36" spans="1:5">
      <c r="A36">
        <v>35</v>
      </c>
      <c r="B36">
        <v>12</v>
      </c>
      <c r="C36" s="4">
        <v>45483</v>
      </c>
      <c r="D36" s="5">
        <v>671.03</v>
      </c>
      <c r="E36" t="s">
        <v>149</v>
      </c>
    </row>
    <row r="37" spans="1:5">
      <c r="A37">
        <v>36</v>
      </c>
      <c r="B37">
        <v>27</v>
      </c>
      <c r="C37" s="4">
        <v>45597</v>
      </c>
      <c r="D37" s="5">
        <v>165.46</v>
      </c>
      <c r="E37" t="s">
        <v>149</v>
      </c>
    </row>
    <row r="38" spans="1:5">
      <c r="A38">
        <v>37</v>
      </c>
      <c r="B38">
        <v>28</v>
      </c>
      <c r="C38" s="4">
        <v>45387</v>
      </c>
      <c r="D38" s="5">
        <v>482.87</v>
      </c>
      <c r="E38" t="s">
        <v>148</v>
      </c>
    </row>
    <row r="39" spans="1:5">
      <c r="A39">
        <v>38</v>
      </c>
      <c r="B39">
        <v>36</v>
      </c>
      <c r="C39" s="4">
        <v>45377</v>
      </c>
      <c r="D39" s="5">
        <v>485.57</v>
      </c>
      <c r="E39" t="s">
        <v>148</v>
      </c>
    </row>
    <row r="40" spans="1:5">
      <c r="A40">
        <v>39</v>
      </c>
      <c r="B40">
        <v>12</v>
      </c>
      <c r="C40" s="4">
        <v>45453</v>
      </c>
      <c r="D40" s="5">
        <v>806.21</v>
      </c>
      <c r="E40" t="s">
        <v>150</v>
      </c>
    </row>
    <row r="41" spans="1:5">
      <c r="A41">
        <v>40</v>
      </c>
      <c r="B41">
        <v>23</v>
      </c>
      <c r="C41" s="4">
        <v>45296</v>
      </c>
      <c r="D41" s="5">
        <v>480.99</v>
      </c>
      <c r="E41" t="s">
        <v>148</v>
      </c>
    </row>
    <row r="42" spans="1:5">
      <c r="A42">
        <v>41</v>
      </c>
      <c r="B42">
        <v>25</v>
      </c>
      <c r="C42" s="4">
        <v>45579</v>
      </c>
      <c r="D42" s="5">
        <v>499.95</v>
      </c>
      <c r="E42" t="s">
        <v>149</v>
      </c>
    </row>
    <row r="43" spans="1:5">
      <c r="A43">
        <v>42</v>
      </c>
      <c r="B43">
        <v>27</v>
      </c>
      <c r="C43" s="4">
        <v>45642</v>
      </c>
      <c r="D43" s="5">
        <v>487.47</v>
      </c>
      <c r="E43" t="s">
        <v>149</v>
      </c>
    </row>
    <row r="44" spans="1:5">
      <c r="A44">
        <v>43</v>
      </c>
      <c r="B44">
        <v>32</v>
      </c>
      <c r="C44" s="4">
        <v>45377</v>
      </c>
      <c r="D44" s="5">
        <v>115.23</v>
      </c>
      <c r="E44" t="s">
        <v>150</v>
      </c>
    </row>
    <row r="45" spans="1:5">
      <c r="A45">
        <v>44</v>
      </c>
      <c r="B45">
        <v>15</v>
      </c>
      <c r="C45" s="4">
        <v>45441</v>
      </c>
      <c r="D45" s="5">
        <v>69.75</v>
      </c>
      <c r="E45" t="s">
        <v>148</v>
      </c>
    </row>
    <row r="46" spans="1:5">
      <c r="A46">
        <v>45</v>
      </c>
      <c r="B46">
        <v>35</v>
      </c>
      <c r="C46" s="4">
        <v>45439</v>
      </c>
      <c r="D46" s="5">
        <v>193.07</v>
      </c>
      <c r="E46" t="s">
        <v>149</v>
      </c>
    </row>
    <row r="47" spans="1:5">
      <c r="A47">
        <v>46</v>
      </c>
      <c r="B47">
        <v>37</v>
      </c>
      <c r="C47" s="4">
        <v>45545</v>
      </c>
      <c r="D47" s="5">
        <v>540.25</v>
      </c>
      <c r="E47" t="s">
        <v>150</v>
      </c>
    </row>
    <row r="48" spans="1:5">
      <c r="A48">
        <v>47</v>
      </c>
      <c r="B48">
        <v>37</v>
      </c>
      <c r="C48" s="4">
        <v>45350</v>
      </c>
      <c r="D48" s="5">
        <v>283.77999999999997</v>
      </c>
      <c r="E48" t="s">
        <v>151</v>
      </c>
    </row>
    <row r="49" spans="1:5">
      <c r="A49">
        <v>48</v>
      </c>
      <c r="B49">
        <v>35</v>
      </c>
      <c r="C49" s="4">
        <v>45313</v>
      </c>
      <c r="D49" s="5">
        <v>731.6</v>
      </c>
      <c r="E49" t="s">
        <v>149</v>
      </c>
    </row>
    <row r="50" spans="1:5">
      <c r="A50">
        <v>49</v>
      </c>
      <c r="B50">
        <v>35</v>
      </c>
      <c r="C50" s="4">
        <v>45403</v>
      </c>
      <c r="D50" s="5">
        <v>940.7</v>
      </c>
      <c r="E50" t="s">
        <v>150</v>
      </c>
    </row>
    <row r="51" spans="1:5">
      <c r="A51">
        <v>50</v>
      </c>
      <c r="B51">
        <v>16</v>
      </c>
      <c r="C51" s="4">
        <v>45444</v>
      </c>
      <c r="D51" s="5">
        <v>836.08</v>
      </c>
      <c r="E51" t="s">
        <v>150</v>
      </c>
    </row>
    <row r="52" spans="1:5">
      <c r="A52">
        <v>51</v>
      </c>
      <c r="B52">
        <v>29</v>
      </c>
      <c r="C52" s="4">
        <v>45426</v>
      </c>
      <c r="D52" s="5">
        <v>357.21</v>
      </c>
      <c r="E52" t="s">
        <v>150</v>
      </c>
    </row>
    <row r="53" spans="1:5">
      <c r="A53">
        <v>52</v>
      </c>
      <c r="B53">
        <v>29</v>
      </c>
      <c r="C53" s="4">
        <v>45352</v>
      </c>
      <c r="D53" s="5">
        <v>745.82</v>
      </c>
      <c r="E53" t="s">
        <v>148</v>
      </c>
    </row>
    <row r="54" spans="1:5">
      <c r="A54">
        <v>53</v>
      </c>
      <c r="B54">
        <v>14</v>
      </c>
      <c r="C54" s="4">
        <v>45593</v>
      </c>
      <c r="D54" s="5">
        <v>667.11</v>
      </c>
      <c r="E54" t="s">
        <v>149</v>
      </c>
    </row>
    <row r="55" spans="1:5">
      <c r="A55">
        <v>54</v>
      </c>
      <c r="B55">
        <v>11</v>
      </c>
      <c r="C55" s="4">
        <v>45607</v>
      </c>
      <c r="D55" s="5">
        <v>166.7</v>
      </c>
      <c r="E55" t="s">
        <v>148</v>
      </c>
    </row>
    <row r="56" spans="1:5">
      <c r="A56">
        <v>55</v>
      </c>
      <c r="B56">
        <v>14</v>
      </c>
      <c r="C56" s="4">
        <v>45322</v>
      </c>
      <c r="D56" s="5">
        <v>558.77</v>
      </c>
      <c r="E56" t="s">
        <v>151</v>
      </c>
    </row>
    <row r="57" spans="1:5">
      <c r="A57">
        <v>56</v>
      </c>
      <c r="B57">
        <v>39</v>
      </c>
      <c r="C57" s="4">
        <v>45567</v>
      </c>
      <c r="D57" s="5">
        <v>193.22</v>
      </c>
      <c r="E57" t="s">
        <v>151</v>
      </c>
    </row>
    <row r="58" spans="1:5">
      <c r="A58">
        <v>57</v>
      </c>
      <c r="B58">
        <v>19</v>
      </c>
      <c r="C58" s="4">
        <v>45585</v>
      </c>
      <c r="D58" s="5">
        <v>283.27999999999997</v>
      </c>
      <c r="E58" t="s">
        <v>150</v>
      </c>
    </row>
    <row r="59" spans="1:5">
      <c r="A59">
        <v>58</v>
      </c>
      <c r="B59">
        <v>9</v>
      </c>
      <c r="C59" s="4">
        <v>45502</v>
      </c>
      <c r="D59" s="5">
        <v>876.08</v>
      </c>
      <c r="E59" t="s">
        <v>151</v>
      </c>
    </row>
    <row r="60" spans="1:5">
      <c r="A60">
        <v>59</v>
      </c>
      <c r="B60">
        <v>9</v>
      </c>
      <c r="C60" s="4">
        <v>45651</v>
      </c>
      <c r="D60" s="5">
        <v>828.13</v>
      </c>
      <c r="E60" t="s">
        <v>148</v>
      </c>
    </row>
    <row r="61" spans="1:5">
      <c r="A61">
        <v>60</v>
      </c>
      <c r="B61">
        <v>10</v>
      </c>
      <c r="C61" s="4">
        <v>45656</v>
      </c>
      <c r="D61" s="5">
        <v>333.11</v>
      </c>
      <c r="E61" t="s">
        <v>148</v>
      </c>
    </row>
    <row r="62" spans="1:5">
      <c r="A62">
        <v>61</v>
      </c>
      <c r="B62">
        <v>26</v>
      </c>
      <c r="C62" s="4">
        <v>45542</v>
      </c>
      <c r="D62" s="5">
        <v>169.38</v>
      </c>
      <c r="E62" t="s">
        <v>151</v>
      </c>
    </row>
    <row r="63" spans="1:5">
      <c r="A63">
        <v>62</v>
      </c>
      <c r="B63">
        <v>27</v>
      </c>
      <c r="C63" s="4">
        <v>45484</v>
      </c>
      <c r="D63" s="5">
        <v>451.31</v>
      </c>
      <c r="E63" t="s">
        <v>150</v>
      </c>
    </row>
    <row r="64" spans="1:5">
      <c r="A64">
        <v>63</v>
      </c>
      <c r="B64">
        <v>26</v>
      </c>
      <c r="C64" s="4">
        <v>45555</v>
      </c>
      <c r="D64" s="5">
        <v>722.32</v>
      </c>
      <c r="E64" t="s">
        <v>151</v>
      </c>
    </row>
    <row r="65" spans="1:5">
      <c r="A65">
        <v>64</v>
      </c>
      <c r="B65">
        <v>30</v>
      </c>
      <c r="C65" s="4">
        <v>45541</v>
      </c>
      <c r="D65" s="5">
        <v>337.83</v>
      </c>
      <c r="E65" t="s">
        <v>150</v>
      </c>
    </row>
    <row r="66" spans="1:5">
      <c r="A66">
        <v>65</v>
      </c>
      <c r="B66">
        <v>6</v>
      </c>
      <c r="C66" s="4">
        <v>45526</v>
      </c>
      <c r="D66" s="5">
        <v>617.70000000000005</v>
      </c>
      <c r="E66" t="s">
        <v>151</v>
      </c>
    </row>
    <row r="67" spans="1:5">
      <c r="A67">
        <v>66</v>
      </c>
      <c r="B67">
        <v>5</v>
      </c>
      <c r="C67" s="4">
        <v>45565</v>
      </c>
      <c r="D67" s="5">
        <v>401.92</v>
      </c>
      <c r="E67" t="s">
        <v>149</v>
      </c>
    </row>
    <row r="68" spans="1:5">
      <c r="A68">
        <v>67</v>
      </c>
      <c r="B68">
        <v>14</v>
      </c>
      <c r="C68" s="4">
        <v>45545</v>
      </c>
      <c r="D68" s="5">
        <v>284.37</v>
      </c>
      <c r="E68" t="s">
        <v>151</v>
      </c>
    </row>
    <row r="69" spans="1:5">
      <c r="A69">
        <v>68</v>
      </c>
      <c r="B69">
        <v>22</v>
      </c>
      <c r="C69" s="4">
        <v>45572</v>
      </c>
      <c r="D69" s="5">
        <v>565.91999999999996</v>
      </c>
      <c r="E69" t="s">
        <v>149</v>
      </c>
    </row>
    <row r="70" spans="1:5">
      <c r="A70">
        <v>69</v>
      </c>
      <c r="B70">
        <v>22</v>
      </c>
      <c r="C70" s="4">
        <v>45641</v>
      </c>
      <c r="D70" s="5">
        <v>733.65</v>
      </c>
      <c r="E70" t="s">
        <v>150</v>
      </c>
    </row>
    <row r="71" spans="1:5">
      <c r="A71">
        <v>70</v>
      </c>
      <c r="B71">
        <v>7</v>
      </c>
      <c r="C71" s="4">
        <v>45612</v>
      </c>
      <c r="D71" s="5">
        <v>753.34</v>
      </c>
      <c r="E71" t="s">
        <v>149</v>
      </c>
    </row>
    <row r="72" spans="1:5">
      <c r="A72">
        <v>71</v>
      </c>
      <c r="B72">
        <v>2</v>
      </c>
      <c r="C72" s="4">
        <v>45355</v>
      </c>
      <c r="D72" s="5">
        <v>885.78</v>
      </c>
      <c r="E72" t="s">
        <v>148</v>
      </c>
    </row>
    <row r="73" spans="1:5">
      <c r="A73">
        <v>72</v>
      </c>
      <c r="B73">
        <v>29</v>
      </c>
      <c r="C73" s="4">
        <v>45525</v>
      </c>
      <c r="D73" s="5">
        <v>40.619999999999997</v>
      </c>
      <c r="E73" t="s">
        <v>149</v>
      </c>
    </row>
    <row r="74" spans="1:5">
      <c r="A74">
        <v>73</v>
      </c>
      <c r="B74">
        <v>13</v>
      </c>
      <c r="C74" s="4">
        <v>45644</v>
      </c>
      <c r="D74" s="5">
        <v>867.56</v>
      </c>
      <c r="E74" t="s">
        <v>151</v>
      </c>
    </row>
    <row r="75" spans="1:5">
      <c r="A75">
        <v>74</v>
      </c>
      <c r="B75">
        <v>11</v>
      </c>
      <c r="C75" s="4">
        <v>45432</v>
      </c>
      <c r="D75" s="5">
        <v>124.94</v>
      </c>
      <c r="E75" t="s">
        <v>151</v>
      </c>
    </row>
    <row r="76" spans="1:5">
      <c r="A76">
        <v>75</v>
      </c>
      <c r="B76">
        <v>17</v>
      </c>
      <c r="C76" s="4">
        <v>45334</v>
      </c>
      <c r="D76" s="5">
        <v>378.38</v>
      </c>
      <c r="E76" t="s">
        <v>148</v>
      </c>
    </row>
    <row r="77" spans="1:5">
      <c r="A77">
        <v>76</v>
      </c>
      <c r="B77">
        <v>4</v>
      </c>
      <c r="C77" s="4">
        <v>45494</v>
      </c>
      <c r="D77" s="5">
        <v>609.29999999999995</v>
      </c>
      <c r="E77" t="s">
        <v>148</v>
      </c>
    </row>
    <row r="78" spans="1:5">
      <c r="A78">
        <v>77</v>
      </c>
      <c r="B78">
        <v>28</v>
      </c>
      <c r="C78" s="4">
        <v>45627</v>
      </c>
      <c r="D78" s="5">
        <v>122.99</v>
      </c>
      <c r="E78" t="s">
        <v>150</v>
      </c>
    </row>
    <row r="79" spans="1:5">
      <c r="A79">
        <v>78</v>
      </c>
      <c r="B79">
        <v>1</v>
      </c>
      <c r="C79" s="4">
        <v>45401</v>
      </c>
      <c r="D79" s="5">
        <v>473.89</v>
      </c>
      <c r="E79" t="s">
        <v>148</v>
      </c>
    </row>
    <row r="80" spans="1:5">
      <c r="A80">
        <v>79</v>
      </c>
      <c r="B80">
        <v>38</v>
      </c>
      <c r="C80" s="4">
        <v>45407</v>
      </c>
      <c r="D80" s="5">
        <v>512.69000000000005</v>
      </c>
      <c r="E80" t="s">
        <v>149</v>
      </c>
    </row>
    <row r="81" spans="1:5">
      <c r="A81">
        <v>80</v>
      </c>
      <c r="B81">
        <v>1</v>
      </c>
      <c r="C81" s="4">
        <v>45296</v>
      </c>
      <c r="D81" s="5">
        <v>672.99</v>
      </c>
      <c r="E81" t="s">
        <v>150</v>
      </c>
    </row>
    <row r="82" spans="1:5">
      <c r="A82">
        <v>81</v>
      </c>
      <c r="B82">
        <v>28</v>
      </c>
      <c r="C82" s="4">
        <v>45647</v>
      </c>
      <c r="D82" s="5">
        <v>160.28</v>
      </c>
      <c r="E82" t="s">
        <v>150</v>
      </c>
    </row>
    <row r="83" spans="1:5">
      <c r="A83">
        <v>82</v>
      </c>
      <c r="B83">
        <v>15</v>
      </c>
      <c r="C83" s="4">
        <v>45488</v>
      </c>
      <c r="D83" s="5">
        <v>121.29</v>
      </c>
      <c r="E83" t="s">
        <v>150</v>
      </c>
    </row>
    <row r="84" spans="1:5">
      <c r="A84">
        <v>83</v>
      </c>
      <c r="B84">
        <v>7</v>
      </c>
      <c r="C84" s="4">
        <v>45452</v>
      </c>
      <c r="D84" s="5">
        <v>374.48</v>
      </c>
      <c r="E84" t="s">
        <v>151</v>
      </c>
    </row>
    <row r="85" spans="1:5">
      <c r="A85">
        <v>84</v>
      </c>
      <c r="B85">
        <v>9</v>
      </c>
      <c r="C85" s="4">
        <v>45487</v>
      </c>
      <c r="D85" s="5">
        <v>743.85</v>
      </c>
      <c r="E85" t="s">
        <v>148</v>
      </c>
    </row>
    <row r="86" spans="1:5">
      <c r="A86">
        <v>85</v>
      </c>
      <c r="B86">
        <v>10</v>
      </c>
      <c r="C86" s="4">
        <v>45327</v>
      </c>
      <c r="D86" s="5">
        <v>522.76</v>
      </c>
      <c r="E86" t="s">
        <v>150</v>
      </c>
    </row>
    <row r="87" spans="1:5">
      <c r="A87">
        <v>86</v>
      </c>
      <c r="B87">
        <v>40</v>
      </c>
      <c r="C87" s="4">
        <v>45624</v>
      </c>
      <c r="D87" s="5">
        <v>189.35</v>
      </c>
      <c r="E87" t="s">
        <v>151</v>
      </c>
    </row>
    <row r="88" spans="1:5">
      <c r="A88">
        <v>87</v>
      </c>
      <c r="B88">
        <v>14</v>
      </c>
      <c r="C88" s="4">
        <v>45613</v>
      </c>
      <c r="D88" s="5">
        <v>720.92</v>
      </c>
      <c r="E88" t="s">
        <v>149</v>
      </c>
    </row>
    <row r="89" spans="1:5">
      <c r="A89">
        <v>88</v>
      </c>
      <c r="B89">
        <v>40</v>
      </c>
      <c r="C89" s="4">
        <v>45643</v>
      </c>
      <c r="D89" s="5">
        <v>442.57</v>
      </c>
      <c r="E89" t="s">
        <v>148</v>
      </c>
    </row>
    <row r="90" spans="1:5">
      <c r="A90">
        <v>89</v>
      </c>
      <c r="B90">
        <v>6</v>
      </c>
      <c r="C90" s="4">
        <v>45343</v>
      </c>
      <c r="D90" s="5">
        <v>167.41</v>
      </c>
      <c r="E90" t="s">
        <v>150</v>
      </c>
    </row>
    <row r="91" spans="1:5">
      <c r="A91">
        <v>90</v>
      </c>
      <c r="B91">
        <v>38</v>
      </c>
      <c r="C91" s="4">
        <v>45488</v>
      </c>
      <c r="D91" s="5">
        <v>359.9</v>
      </c>
      <c r="E91" t="s">
        <v>149</v>
      </c>
    </row>
    <row r="92" spans="1:5">
      <c r="A92">
        <v>91</v>
      </c>
      <c r="B92">
        <v>21</v>
      </c>
      <c r="C92" s="4">
        <v>45363</v>
      </c>
      <c r="D92" s="5">
        <v>265.49</v>
      </c>
      <c r="E92" t="s">
        <v>150</v>
      </c>
    </row>
    <row r="93" spans="1:5">
      <c r="A93">
        <v>92</v>
      </c>
      <c r="B93">
        <v>16</v>
      </c>
      <c r="C93" s="4">
        <v>45575</v>
      </c>
      <c r="D93" s="5">
        <v>586.91</v>
      </c>
      <c r="E93" t="s">
        <v>151</v>
      </c>
    </row>
    <row r="94" spans="1:5">
      <c r="A94">
        <v>93</v>
      </c>
      <c r="B94">
        <v>2</v>
      </c>
      <c r="C94" s="4">
        <v>45629</v>
      </c>
      <c r="D94" s="5">
        <v>837</v>
      </c>
      <c r="E94" t="s">
        <v>148</v>
      </c>
    </row>
    <row r="95" spans="1:5">
      <c r="A95">
        <v>94</v>
      </c>
      <c r="B95">
        <v>34</v>
      </c>
      <c r="C95" s="4">
        <v>45602</v>
      </c>
      <c r="D95" s="5">
        <v>503.67</v>
      </c>
      <c r="E95" t="s">
        <v>149</v>
      </c>
    </row>
    <row r="96" spans="1:5">
      <c r="A96">
        <v>95</v>
      </c>
      <c r="B96">
        <v>19</v>
      </c>
      <c r="C96" s="4">
        <v>45622</v>
      </c>
      <c r="D96" s="5">
        <v>89.66</v>
      </c>
      <c r="E96" t="s">
        <v>148</v>
      </c>
    </row>
    <row r="97" spans="1:5">
      <c r="A97">
        <v>96</v>
      </c>
      <c r="B97">
        <v>32</v>
      </c>
      <c r="C97" s="4">
        <v>45489</v>
      </c>
      <c r="D97" s="5">
        <v>142.6</v>
      </c>
      <c r="E97" t="s">
        <v>149</v>
      </c>
    </row>
    <row r="98" spans="1:5">
      <c r="A98">
        <v>97</v>
      </c>
      <c r="B98">
        <v>39</v>
      </c>
      <c r="C98" s="4">
        <v>45328</v>
      </c>
      <c r="D98" s="5">
        <v>520.74</v>
      </c>
      <c r="E98" t="s">
        <v>150</v>
      </c>
    </row>
    <row r="99" spans="1:5">
      <c r="A99">
        <v>98</v>
      </c>
      <c r="B99">
        <v>24</v>
      </c>
      <c r="C99" s="4">
        <v>45454</v>
      </c>
      <c r="D99" s="5">
        <v>160.1</v>
      </c>
      <c r="E99" t="s">
        <v>149</v>
      </c>
    </row>
    <row r="100" spans="1:5">
      <c r="A100">
        <v>99</v>
      </c>
      <c r="B100">
        <v>24</v>
      </c>
      <c r="C100" s="4">
        <v>45571</v>
      </c>
      <c r="D100" s="5">
        <v>661.48</v>
      </c>
      <c r="E100" t="s">
        <v>149</v>
      </c>
    </row>
    <row r="101" spans="1:5">
      <c r="A101">
        <v>100</v>
      </c>
      <c r="B101">
        <v>5</v>
      </c>
      <c r="C101" s="4">
        <v>45300</v>
      </c>
      <c r="D101" s="5">
        <v>574.5</v>
      </c>
      <c r="E101" t="s">
        <v>150</v>
      </c>
    </row>
    <row r="102" spans="1:5">
      <c r="A102">
        <v>101</v>
      </c>
      <c r="B102">
        <v>17</v>
      </c>
      <c r="C102" s="4">
        <v>45402</v>
      </c>
      <c r="D102" s="5">
        <v>76.239999999999995</v>
      </c>
      <c r="E102" t="s">
        <v>150</v>
      </c>
    </row>
    <row r="103" spans="1:5">
      <c r="A103">
        <v>102</v>
      </c>
      <c r="B103">
        <v>26</v>
      </c>
      <c r="C103" s="4">
        <v>45551</v>
      </c>
      <c r="D103" s="5">
        <v>300.7</v>
      </c>
      <c r="E103" t="s">
        <v>149</v>
      </c>
    </row>
    <row r="104" spans="1:5">
      <c r="A104">
        <v>103</v>
      </c>
      <c r="B104">
        <v>28</v>
      </c>
      <c r="C104" s="4">
        <v>45651</v>
      </c>
      <c r="D104" s="5">
        <v>406.07</v>
      </c>
      <c r="E104" t="s">
        <v>148</v>
      </c>
    </row>
    <row r="105" spans="1:5">
      <c r="A105">
        <v>104</v>
      </c>
      <c r="B105">
        <v>18</v>
      </c>
      <c r="C105" s="4">
        <v>45334</v>
      </c>
      <c r="D105" s="5">
        <v>322.02</v>
      </c>
      <c r="E105" t="s">
        <v>148</v>
      </c>
    </row>
    <row r="106" spans="1:5">
      <c r="A106">
        <v>105</v>
      </c>
      <c r="B106">
        <v>10</v>
      </c>
      <c r="C106" s="4">
        <v>45566</v>
      </c>
      <c r="D106" s="5">
        <v>337.34</v>
      </c>
      <c r="E106" t="s">
        <v>150</v>
      </c>
    </row>
    <row r="107" spans="1:5">
      <c r="A107">
        <v>106</v>
      </c>
      <c r="B107">
        <v>20</v>
      </c>
      <c r="C107" s="4">
        <v>45649</v>
      </c>
      <c r="D107" s="5">
        <v>438.11</v>
      </c>
      <c r="E107" t="s">
        <v>148</v>
      </c>
    </row>
    <row r="108" spans="1:5">
      <c r="A108">
        <v>107</v>
      </c>
      <c r="B108">
        <v>4</v>
      </c>
      <c r="C108" s="4">
        <v>45417</v>
      </c>
      <c r="D108" s="5">
        <v>118.45</v>
      </c>
      <c r="E108" t="s">
        <v>149</v>
      </c>
    </row>
    <row r="109" spans="1:5">
      <c r="A109">
        <v>108</v>
      </c>
      <c r="B109">
        <v>8</v>
      </c>
      <c r="C109" s="4">
        <v>45524</v>
      </c>
      <c r="D109" s="5">
        <v>597.19000000000005</v>
      </c>
      <c r="E109" t="s">
        <v>150</v>
      </c>
    </row>
    <row r="110" spans="1:5">
      <c r="A110">
        <v>109</v>
      </c>
      <c r="B110">
        <v>20</v>
      </c>
      <c r="C110" s="4">
        <v>45633</v>
      </c>
      <c r="D110" s="5">
        <v>714.94</v>
      </c>
      <c r="E110" t="s">
        <v>148</v>
      </c>
    </row>
    <row r="111" spans="1:5">
      <c r="A111">
        <v>110</v>
      </c>
      <c r="B111">
        <v>8</v>
      </c>
      <c r="C111" s="4">
        <v>45298</v>
      </c>
      <c r="D111" s="5">
        <v>684.19</v>
      </c>
      <c r="E111" t="s">
        <v>150</v>
      </c>
    </row>
    <row r="112" spans="1:5">
      <c r="A112">
        <v>111</v>
      </c>
      <c r="B112">
        <v>11</v>
      </c>
      <c r="C112" s="4">
        <v>45546</v>
      </c>
      <c r="D112" s="5">
        <v>907.24</v>
      </c>
      <c r="E112" t="s">
        <v>151</v>
      </c>
    </row>
    <row r="113" spans="1:5">
      <c r="A113">
        <v>112</v>
      </c>
      <c r="B113">
        <v>11</v>
      </c>
      <c r="C113" s="4">
        <v>45482</v>
      </c>
      <c r="D113" s="5">
        <v>155.51</v>
      </c>
      <c r="E113" t="s">
        <v>151</v>
      </c>
    </row>
    <row r="114" spans="1:5">
      <c r="A114">
        <v>113</v>
      </c>
      <c r="B114">
        <v>8</v>
      </c>
      <c r="C114" s="4">
        <v>45307</v>
      </c>
      <c r="D114" s="5">
        <v>344.86</v>
      </c>
      <c r="E114" t="s">
        <v>149</v>
      </c>
    </row>
    <row r="115" spans="1:5">
      <c r="A115">
        <v>114</v>
      </c>
      <c r="B115">
        <v>18</v>
      </c>
      <c r="C115" s="4">
        <v>45560</v>
      </c>
      <c r="D115" s="5">
        <v>98.12</v>
      </c>
      <c r="E115" t="s">
        <v>150</v>
      </c>
    </row>
    <row r="116" spans="1:5">
      <c r="A116">
        <v>115</v>
      </c>
      <c r="B116">
        <v>32</v>
      </c>
      <c r="C116" s="4">
        <v>45525</v>
      </c>
      <c r="D116" s="5">
        <v>504.81</v>
      </c>
      <c r="E116" t="s">
        <v>150</v>
      </c>
    </row>
    <row r="117" spans="1:5">
      <c r="A117">
        <v>116</v>
      </c>
      <c r="B117">
        <v>32</v>
      </c>
      <c r="C117" s="4">
        <v>45582</v>
      </c>
      <c r="D117" s="5">
        <v>191.86</v>
      </c>
      <c r="E117" t="s">
        <v>148</v>
      </c>
    </row>
    <row r="118" spans="1:5">
      <c r="A118">
        <v>117</v>
      </c>
      <c r="B118">
        <v>17</v>
      </c>
      <c r="C118" s="4">
        <v>45344</v>
      </c>
      <c r="D118" s="5">
        <v>853.78</v>
      </c>
      <c r="E118" t="s">
        <v>150</v>
      </c>
    </row>
    <row r="119" spans="1:5">
      <c r="A119">
        <v>118</v>
      </c>
      <c r="B119">
        <v>15</v>
      </c>
      <c r="C119" s="4">
        <v>45552</v>
      </c>
      <c r="D119" s="5">
        <v>42.34</v>
      </c>
      <c r="E119" t="s">
        <v>150</v>
      </c>
    </row>
    <row r="120" spans="1:5">
      <c r="A120">
        <v>119</v>
      </c>
      <c r="B120">
        <v>16</v>
      </c>
      <c r="C120" s="4">
        <v>45315</v>
      </c>
      <c r="D120" s="5">
        <v>469.31</v>
      </c>
      <c r="E120" t="s">
        <v>149</v>
      </c>
    </row>
    <row r="121" spans="1:5">
      <c r="A121">
        <v>120</v>
      </c>
      <c r="B121">
        <v>10</v>
      </c>
      <c r="C121" s="4">
        <v>45383</v>
      </c>
      <c r="D121" s="5">
        <v>887.36</v>
      </c>
      <c r="E121" t="s">
        <v>150</v>
      </c>
    </row>
    <row r="122" spans="1:5">
      <c r="A122">
        <v>121</v>
      </c>
      <c r="B122">
        <v>36</v>
      </c>
      <c r="C122" s="4">
        <v>45657</v>
      </c>
      <c r="D122" s="5">
        <v>714.01</v>
      </c>
      <c r="E122" t="s">
        <v>149</v>
      </c>
    </row>
    <row r="123" spans="1:5">
      <c r="A123">
        <v>122</v>
      </c>
      <c r="B123">
        <v>15</v>
      </c>
      <c r="C123" s="4">
        <v>45456</v>
      </c>
      <c r="D123" s="5">
        <v>265.92</v>
      </c>
      <c r="E123" t="s">
        <v>151</v>
      </c>
    </row>
    <row r="124" spans="1:5">
      <c r="A124">
        <v>123</v>
      </c>
      <c r="B124">
        <v>18</v>
      </c>
      <c r="C124" s="4">
        <v>45331</v>
      </c>
      <c r="D124" s="5">
        <v>560.1</v>
      </c>
      <c r="E124" t="s">
        <v>150</v>
      </c>
    </row>
    <row r="125" spans="1:5">
      <c r="A125">
        <v>124</v>
      </c>
      <c r="B125">
        <v>33</v>
      </c>
      <c r="C125" s="4">
        <v>45636</v>
      </c>
      <c r="D125" s="5">
        <v>860.77</v>
      </c>
      <c r="E125" t="s">
        <v>148</v>
      </c>
    </row>
    <row r="126" spans="1:5">
      <c r="A126">
        <v>125</v>
      </c>
      <c r="B126">
        <v>15</v>
      </c>
      <c r="C126" s="4">
        <v>45556</v>
      </c>
      <c r="D126" s="5">
        <v>933.09</v>
      </c>
      <c r="E126" t="s">
        <v>149</v>
      </c>
    </row>
    <row r="127" spans="1:5">
      <c r="A127">
        <v>126</v>
      </c>
      <c r="B127">
        <v>5</v>
      </c>
      <c r="C127" s="4">
        <v>45530</v>
      </c>
      <c r="D127" s="5">
        <v>828.09</v>
      </c>
      <c r="E127" t="s">
        <v>151</v>
      </c>
    </row>
    <row r="128" spans="1:5">
      <c r="A128">
        <v>127</v>
      </c>
      <c r="B128">
        <v>21</v>
      </c>
      <c r="C128" s="4">
        <v>45336</v>
      </c>
      <c r="D128" s="5">
        <v>543.30999999999995</v>
      </c>
      <c r="E128" t="s">
        <v>150</v>
      </c>
    </row>
    <row r="129" spans="1:5">
      <c r="A129">
        <v>128</v>
      </c>
      <c r="B129">
        <v>24</v>
      </c>
      <c r="C129" s="4">
        <v>45394</v>
      </c>
      <c r="D129" s="5">
        <v>305.35000000000002</v>
      </c>
      <c r="E129" t="s">
        <v>151</v>
      </c>
    </row>
    <row r="130" spans="1:5">
      <c r="A130">
        <v>129</v>
      </c>
      <c r="B130">
        <v>40</v>
      </c>
      <c r="C130" s="4">
        <v>45416</v>
      </c>
      <c r="D130" s="5">
        <v>462.17</v>
      </c>
      <c r="E130" t="s">
        <v>149</v>
      </c>
    </row>
    <row r="131" spans="1:5">
      <c r="A131">
        <v>130</v>
      </c>
      <c r="B131">
        <v>13</v>
      </c>
      <c r="C131" s="4">
        <v>45571</v>
      </c>
      <c r="D131" s="5">
        <v>732.04</v>
      </c>
      <c r="E131" t="s">
        <v>148</v>
      </c>
    </row>
    <row r="132" spans="1:5">
      <c r="A132">
        <v>131</v>
      </c>
      <c r="B132">
        <v>10</v>
      </c>
      <c r="C132" s="4">
        <v>45295</v>
      </c>
      <c r="D132" s="5">
        <v>888.48</v>
      </c>
      <c r="E132" t="s">
        <v>150</v>
      </c>
    </row>
    <row r="133" spans="1:5">
      <c r="A133">
        <v>132</v>
      </c>
      <c r="B133">
        <v>15</v>
      </c>
      <c r="C133" s="4">
        <v>45569</v>
      </c>
      <c r="D133" s="5">
        <v>355.25</v>
      </c>
      <c r="E133" t="s">
        <v>150</v>
      </c>
    </row>
    <row r="134" spans="1:5">
      <c r="A134">
        <v>133</v>
      </c>
      <c r="B134">
        <v>22</v>
      </c>
      <c r="C134" s="4">
        <v>45292</v>
      </c>
      <c r="D134" s="5">
        <v>730.63</v>
      </c>
      <c r="E134" t="s">
        <v>149</v>
      </c>
    </row>
    <row r="135" spans="1:5">
      <c r="A135">
        <v>134</v>
      </c>
      <c r="B135">
        <v>20</v>
      </c>
      <c r="C135" s="4">
        <v>45345</v>
      </c>
      <c r="D135" s="5">
        <v>226.73</v>
      </c>
      <c r="E135" t="s">
        <v>148</v>
      </c>
    </row>
    <row r="136" spans="1:5">
      <c r="A136">
        <v>135</v>
      </c>
      <c r="B136">
        <v>27</v>
      </c>
      <c r="C136" s="4">
        <v>45543</v>
      </c>
      <c r="D136" s="5">
        <v>914.68</v>
      </c>
      <c r="E136" t="s">
        <v>148</v>
      </c>
    </row>
    <row r="137" spans="1:5">
      <c r="A137">
        <v>136</v>
      </c>
      <c r="B137">
        <v>18</v>
      </c>
      <c r="C137" s="4">
        <v>45339</v>
      </c>
      <c r="D137" s="5">
        <v>79.95</v>
      </c>
      <c r="E137" t="s">
        <v>148</v>
      </c>
    </row>
    <row r="138" spans="1:5">
      <c r="A138">
        <v>137</v>
      </c>
      <c r="B138">
        <v>34</v>
      </c>
      <c r="C138" s="4">
        <v>45503</v>
      </c>
      <c r="D138" s="5">
        <v>677.77</v>
      </c>
      <c r="E138" t="s">
        <v>151</v>
      </c>
    </row>
    <row r="139" spans="1:5">
      <c r="A139">
        <v>138</v>
      </c>
      <c r="B139">
        <v>30</v>
      </c>
      <c r="C139" s="4">
        <v>45335</v>
      </c>
      <c r="D139" s="5">
        <v>568.5</v>
      </c>
      <c r="E139" t="s">
        <v>148</v>
      </c>
    </row>
    <row r="140" spans="1:5">
      <c r="A140">
        <v>139</v>
      </c>
      <c r="B140">
        <v>26</v>
      </c>
      <c r="C140" s="4">
        <v>45330</v>
      </c>
      <c r="D140" s="5">
        <v>578.63</v>
      </c>
      <c r="E140" t="s">
        <v>150</v>
      </c>
    </row>
    <row r="141" spans="1:5">
      <c r="A141">
        <v>140</v>
      </c>
      <c r="B141">
        <v>28</v>
      </c>
      <c r="C141" s="4">
        <v>45631</v>
      </c>
      <c r="D141" s="5">
        <v>917.44</v>
      </c>
      <c r="E141" t="s">
        <v>148</v>
      </c>
    </row>
    <row r="142" spans="1:5">
      <c r="A142">
        <v>141</v>
      </c>
      <c r="B142">
        <v>19</v>
      </c>
      <c r="C142" s="4">
        <v>45425</v>
      </c>
      <c r="D142" s="5">
        <v>814.33</v>
      </c>
      <c r="E142" t="s">
        <v>149</v>
      </c>
    </row>
    <row r="143" spans="1:5">
      <c r="A143">
        <v>142</v>
      </c>
      <c r="B143">
        <v>21</v>
      </c>
      <c r="C143" s="4">
        <v>45454</v>
      </c>
      <c r="D143" s="5">
        <v>452.01</v>
      </c>
      <c r="E143" t="s">
        <v>148</v>
      </c>
    </row>
    <row r="144" spans="1:5">
      <c r="A144">
        <v>143</v>
      </c>
      <c r="B144">
        <v>5</v>
      </c>
      <c r="C144" s="4">
        <v>45395</v>
      </c>
      <c r="D144" s="5">
        <v>163.86</v>
      </c>
      <c r="E144" t="s">
        <v>150</v>
      </c>
    </row>
    <row r="145" spans="1:5">
      <c r="A145">
        <v>144</v>
      </c>
      <c r="B145">
        <v>10</v>
      </c>
      <c r="C145" s="4">
        <v>45346</v>
      </c>
      <c r="D145" s="5">
        <v>189.58</v>
      </c>
      <c r="E145" t="s">
        <v>149</v>
      </c>
    </row>
    <row r="146" spans="1:5">
      <c r="A146">
        <v>145</v>
      </c>
      <c r="B146">
        <v>21</v>
      </c>
      <c r="C146" s="4">
        <v>45500</v>
      </c>
      <c r="D146" s="5">
        <v>149.87</v>
      </c>
      <c r="E146" t="s">
        <v>151</v>
      </c>
    </row>
    <row r="147" spans="1:5">
      <c r="A147">
        <v>146</v>
      </c>
      <c r="B147">
        <v>14</v>
      </c>
      <c r="C147" s="4">
        <v>45523</v>
      </c>
      <c r="D147" s="5">
        <v>320.56</v>
      </c>
      <c r="E147" t="s">
        <v>151</v>
      </c>
    </row>
    <row r="148" spans="1:5">
      <c r="A148">
        <v>147</v>
      </c>
      <c r="B148">
        <v>8</v>
      </c>
      <c r="C148" s="4">
        <v>45338</v>
      </c>
      <c r="D148" s="5">
        <v>183.43</v>
      </c>
      <c r="E148" t="s">
        <v>151</v>
      </c>
    </row>
    <row r="149" spans="1:5">
      <c r="A149">
        <v>148</v>
      </c>
      <c r="B149">
        <v>39</v>
      </c>
      <c r="C149" s="4">
        <v>45312</v>
      </c>
      <c r="D149" s="5">
        <v>235.67</v>
      </c>
      <c r="E149" t="s">
        <v>151</v>
      </c>
    </row>
    <row r="150" spans="1:5">
      <c r="A150">
        <v>149</v>
      </c>
      <c r="B150">
        <v>10</v>
      </c>
      <c r="C150" s="4">
        <v>45338</v>
      </c>
      <c r="D150" s="5">
        <v>687.15</v>
      </c>
      <c r="E150" t="s">
        <v>151</v>
      </c>
    </row>
    <row r="151" spans="1:5">
      <c r="A151">
        <v>150</v>
      </c>
      <c r="B151">
        <v>26</v>
      </c>
      <c r="C151" s="4">
        <v>45554</v>
      </c>
      <c r="D151" s="5">
        <v>84.55</v>
      </c>
      <c r="E151" t="s">
        <v>151</v>
      </c>
    </row>
    <row r="152" spans="1:5">
      <c r="A152">
        <v>151</v>
      </c>
      <c r="B152">
        <v>17</v>
      </c>
      <c r="C152" s="4">
        <v>45381</v>
      </c>
      <c r="D152" s="5">
        <v>68.28</v>
      </c>
      <c r="E152" t="s">
        <v>149</v>
      </c>
    </row>
    <row r="153" spans="1:5">
      <c r="A153">
        <v>152</v>
      </c>
      <c r="B153">
        <v>29</v>
      </c>
      <c r="C153" s="4">
        <v>45576</v>
      </c>
      <c r="D153" s="5">
        <v>720.75</v>
      </c>
      <c r="E153" t="s">
        <v>148</v>
      </c>
    </row>
    <row r="154" spans="1:5">
      <c r="A154">
        <v>153</v>
      </c>
      <c r="B154">
        <v>7</v>
      </c>
      <c r="C154" s="4">
        <v>45528</v>
      </c>
      <c r="D154" s="5">
        <v>132.74</v>
      </c>
      <c r="E154" t="s">
        <v>148</v>
      </c>
    </row>
    <row r="155" spans="1:5">
      <c r="A155">
        <v>154</v>
      </c>
      <c r="B155">
        <v>8</v>
      </c>
      <c r="C155" s="4">
        <v>45298</v>
      </c>
      <c r="D155" s="5">
        <v>96.12</v>
      </c>
      <c r="E155" t="s">
        <v>148</v>
      </c>
    </row>
    <row r="156" spans="1:5">
      <c r="A156">
        <v>155</v>
      </c>
      <c r="B156">
        <v>9</v>
      </c>
      <c r="C156" s="4">
        <v>45393</v>
      </c>
      <c r="D156" s="5">
        <v>789.54</v>
      </c>
      <c r="E156" t="s">
        <v>151</v>
      </c>
    </row>
    <row r="157" spans="1:5">
      <c r="A157">
        <v>156</v>
      </c>
      <c r="B157">
        <v>6</v>
      </c>
      <c r="C157" s="4">
        <v>45590</v>
      </c>
      <c r="D157" s="5">
        <v>573.37</v>
      </c>
      <c r="E157" t="s">
        <v>150</v>
      </c>
    </row>
    <row r="158" spans="1:5">
      <c r="A158">
        <v>157</v>
      </c>
      <c r="B158">
        <v>2</v>
      </c>
      <c r="C158" s="4">
        <v>45325</v>
      </c>
      <c r="D158" s="5">
        <v>219.95</v>
      </c>
      <c r="E158" t="s">
        <v>149</v>
      </c>
    </row>
    <row r="159" spans="1:5">
      <c r="A159">
        <v>158</v>
      </c>
      <c r="B159">
        <v>9</v>
      </c>
      <c r="C159" s="4">
        <v>45339</v>
      </c>
      <c r="D159" s="5">
        <v>863.62</v>
      </c>
      <c r="E159" t="s">
        <v>151</v>
      </c>
    </row>
    <row r="160" spans="1:5">
      <c r="A160">
        <v>159</v>
      </c>
      <c r="B160">
        <v>8</v>
      </c>
      <c r="C160" s="4">
        <v>45313</v>
      </c>
      <c r="D160" s="5">
        <v>897.48</v>
      </c>
      <c r="E160" t="s">
        <v>150</v>
      </c>
    </row>
    <row r="161" spans="1:5">
      <c r="A161">
        <v>160</v>
      </c>
      <c r="B161">
        <v>11</v>
      </c>
      <c r="C161" s="4">
        <v>45585</v>
      </c>
      <c r="D161" s="5">
        <v>434.17</v>
      </c>
      <c r="E161" t="s">
        <v>149</v>
      </c>
    </row>
    <row r="162" spans="1:5">
      <c r="A162">
        <v>161</v>
      </c>
      <c r="B162">
        <v>32</v>
      </c>
      <c r="C162" s="4">
        <v>45307</v>
      </c>
      <c r="D162" s="5">
        <v>388.28</v>
      </c>
      <c r="E162" t="s">
        <v>149</v>
      </c>
    </row>
    <row r="163" spans="1:5">
      <c r="A163">
        <v>162</v>
      </c>
      <c r="B163">
        <v>12</v>
      </c>
      <c r="C163" s="4">
        <v>45473</v>
      </c>
      <c r="D163" s="5">
        <v>235.39</v>
      </c>
      <c r="E163" t="s">
        <v>148</v>
      </c>
    </row>
    <row r="164" spans="1:5">
      <c r="A164">
        <v>163</v>
      </c>
      <c r="B164">
        <v>18</v>
      </c>
      <c r="C164" s="4">
        <v>45435</v>
      </c>
      <c r="D164" s="5">
        <v>445.87</v>
      </c>
      <c r="E164" t="s">
        <v>148</v>
      </c>
    </row>
    <row r="165" spans="1:5">
      <c r="A165">
        <v>164</v>
      </c>
      <c r="B165">
        <v>3</v>
      </c>
      <c r="C165" s="4">
        <v>45606</v>
      </c>
      <c r="D165" s="5">
        <v>603.45000000000005</v>
      </c>
      <c r="E165" t="s">
        <v>148</v>
      </c>
    </row>
    <row r="166" spans="1:5">
      <c r="A166">
        <v>165</v>
      </c>
      <c r="B166">
        <v>19</v>
      </c>
      <c r="C166" s="4">
        <v>45547</v>
      </c>
      <c r="D166" s="5">
        <v>414.91</v>
      </c>
      <c r="E166" t="s">
        <v>149</v>
      </c>
    </row>
    <row r="167" spans="1:5">
      <c r="A167">
        <v>166</v>
      </c>
      <c r="B167">
        <v>4</v>
      </c>
      <c r="C167" s="4">
        <v>45336</v>
      </c>
      <c r="D167" s="5">
        <v>294.60000000000002</v>
      </c>
      <c r="E167" t="s">
        <v>148</v>
      </c>
    </row>
    <row r="168" spans="1:5">
      <c r="A168">
        <v>167</v>
      </c>
      <c r="B168">
        <v>27</v>
      </c>
      <c r="C168" s="4">
        <v>45394</v>
      </c>
      <c r="D168" s="5">
        <v>624.80999999999995</v>
      </c>
      <c r="E168" t="s">
        <v>148</v>
      </c>
    </row>
    <row r="169" spans="1:5">
      <c r="A169">
        <v>168</v>
      </c>
      <c r="B169">
        <v>35</v>
      </c>
      <c r="C169" s="4">
        <v>45301</v>
      </c>
      <c r="D169" s="5">
        <v>940.36</v>
      </c>
      <c r="E169" t="s">
        <v>151</v>
      </c>
    </row>
    <row r="170" spans="1:5">
      <c r="A170">
        <v>169</v>
      </c>
      <c r="B170">
        <v>31</v>
      </c>
      <c r="C170" s="4">
        <v>45570</v>
      </c>
      <c r="D170" s="5">
        <v>751.11</v>
      </c>
      <c r="E170" t="s">
        <v>151</v>
      </c>
    </row>
    <row r="171" spans="1:5">
      <c r="A171">
        <v>170</v>
      </c>
      <c r="B171">
        <v>37</v>
      </c>
      <c r="C171" s="4">
        <v>45549</v>
      </c>
      <c r="D171" s="5">
        <v>332.66</v>
      </c>
      <c r="E171" t="s">
        <v>151</v>
      </c>
    </row>
    <row r="172" spans="1:5">
      <c r="A172">
        <v>171</v>
      </c>
      <c r="B172">
        <v>12</v>
      </c>
      <c r="C172" s="4">
        <v>45305</v>
      </c>
      <c r="D172" s="5">
        <v>330.18</v>
      </c>
      <c r="E172" t="s">
        <v>148</v>
      </c>
    </row>
    <row r="173" spans="1:5">
      <c r="A173">
        <v>172</v>
      </c>
      <c r="B173">
        <v>2</v>
      </c>
      <c r="C173" s="4">
        <v>45435</v>
      </c>
      <c r="D173" s="5">
        <v>93.32</v>
      </c>
      <c r="E173" t="s">
        <v>149</v>
      </c>
    </row>
    <row r="174" spans="1:5">
      <c r="A174">
        <v>173</v>
      </c>
      <c r="B174">
        <v>34</v>
      </c>
      <c r="C174" s="4">
        <v>45475</v>
      </c>
      <c r="D174" s="5">
        <v>737.83</v>
      </c>
      <c r="E174" t="s">
        <v>148</v>
      </c>
    </row>
    <row r="175" spans="1:5">
      <c r="A175">
        <v>174</v>
      </c>
      <c r="B175">
        <v>11</v>
      </c>
      <c r="C175" s="4">
        <v>45343</v>
      </c>
      <c r="D175" s="5">
        <v>265.55</v>
      </c>
      <c r="E175" t="s">
        <v>148</v>
      </c>
    </row>
    <row r="176" spans="1:5">
      <c r="A176">
        <v>175</v>
      </c>
      <c r="B176">
        <v>18</v>
      </c>
      <c r="C176" s="4">
        <v>45565</v>
      </c>
      <c r="D176" s="5">
        <v>782.82</v>
      </c>
      <c r="E176" t="s">
        <v>150</v>
      </c>
    </row>
    <row r="177" spans="1:5">
      <c r="A177">
        <v>176</v>
      </c>
      <c r="B177">
        <v>15</v>
      </c>
      <c r="C177" s="4">
        <v>45586</v>
      </c>
      <c r="D177" s="5">
        <v>810.32</v>
      </c>
      <c r="E177" t="s">
        <v>149</v>
      </c>
    </row>
    <row r="178" spans="1:5">
      <c r="A178">
        <v>177</v>
      </c>
      <c r="B178">
        <v>23</v>
      </c>
      <c r="C178" s="4">
        <v>45380</v>
      </c>
      <c r="D178" s="5">
        <v>200.25</v>
      </c>
      <c r="E178" t="s">
        <v>151</v>
      </c>
    </row>
    <row r="179" spans="1:5">
      <c r="A179">
        <v>178</v>
      </c>
      <c r="B179">
        <v>23</v>
      </c>
      <c r="C179" s="4">
        <v>45594</v>
      </c>
      <c r="D179" s="5">
        <v>65.67</v>
      </c>
      <c r="E179" t="s">
        <v>151</v>
      </c>
    </row>
    <row r="180" spans="1:5">
      <c r="A180">
        <v>179</v>
      </c>
      <c r="B180">
        <v>37</v>
      </c>
      <c r="C180" s="4">
        <v>45580</v>
      </c>
      <c r="D180" s="5">
        <v>169.31</v>
      </c>
      <c r="E180" t="s">
        <v>148</v>
      </c>
    </row>
    <row r="181" spans="1:5">
      <c r="A181">
        <v>180</v>
      </c>
      <c r="B181">
        <v>32</v>
      </c>
      <c r="C181" s="4">
        <v>45569</v>
      </c>
      <c r="D181" s="5">
        <v>321.24</v>
      </c>
      <c r="E181" t="s">
        <v>149</v>
      </c>
    </row>
    <row r="182" spans="1:5">
      <c r="A182">
        <v>181</v>
      </c>
      <c r="B182">
        <v>3</v>
      </c>
      <c r="C182" s="4">
        <v>45338</v>
      </c>
      <c r="D182" s="5">
        <v>91.11</v>
      </c>
      <c r="E182" t="s">
        <v>148</v>
      </c>
    </row>
    <row r="183" spans="1:5">
      <c r="A183">
        <v>182</v>
      </c>
      <c r="B183">
        <v>2</v>
      </c>
      <c r="C183" s="4">
        <v>45561</v>
      </c>
      <c r="D183" s="5">
        <v>474.97</v>
      </c>
      <c r="E183" t="s">
        <v>151</v>
      </c>
    </row>
    <row r="184" spans="1:5">
      <c r="A184">
        <v>183</v>
      </c>
      <c r="B184">
        <v>40</v>
      </c>
      <c r="C184" s="4">
        <v>45395</v>
      </c>
      <c r="D184" s="5">
        <v>773.87</v>
      </c>
      <c r="E184" t="s">
        <v>151</v>
      </c>
    </row>
    <row r="185" spans="1:5">
      <c r="A185">
        <v>184</v>
      </c>
      <c r="B185">
        <v>12</v>
      </c>
      <c r="C185" s="4">
        <v>45457</v>
      </c>
      <c r="D185" s="5">
        <v>94.2</v>
      </c>
      <c r="E185" t="s">
        <v>148</v>
      </c>
    </row>
    <row r="186" spans="1:5">
      <c r="A186">
        <v>185</v>
      </c>
      <c r="B186">
        <v>38</v>
      </c>
      <c r="C186" s="4">
        <v>45652</v>
      </c>
      <c r="D186" s="5">
        <v>874.67</v>
      </c>
      <c r="E186" t="s">
        <v>150</v>
      </c>
    </row>
    <row r="187" spans="1:5">
      <c r="A187">
        <v>186</v>
      </c>
      <c r="B187">
        <v>34</v>
      </c>
      <c r="C187" s="4">
        <v>45478</v>
      </c>
      <c r="D187" s="5">
        <v>914.11</v>
      </c>
      <c r="E187" t="s">
        <v>151</v>
      </c>
    </row>
    <row r="188" spans="1:5">
      <c r="A188">
        <v>187</v>
      </c>
      <c r="B188">
        <v>26</v>
      </c>
      <c r="C188" s="4">
        <v>45592</v>
      </c>
      <c r="D188" s="5">
        <v>131.94</v>
      </c>
      <c r="E188" t="s">
        <v>151</v>
      </c>
    </row>
    <row r="189" spans="1:5">
      <c r="A189">
        <v>188</v>
      </c>
      <c r="B189">
        <v>21</v>
      </c>
      <c r="C189" s="4">
        <v>45361</v>
      </c>
      <c r="D189" s="5">
        <v>928.03</v>
      </c>
      <c r="E189" t="s">
        <v>149</v>
      </c>
    </row>
    <row r="190" spans="1:5">
      <c r="A190">
        <v>189</v>
      </c>
      <c r="B190">
        <v>32</v>
      </c>
      <c r="C190" s="4">
        <v>45624</v>
      </c>
      <c r="D190" s="5">
        <v>328.73</v>
      </c>
      <c r="E190" t="s">
        <v>151</v>
      </c>
    </row>
    <row r="191" spans="1:5">
      <c r="A191">
        <v>190</v>
      </c>
      <c r="B191">
        <v>15</v>
      </c>
      <c r="C191" s="4">
        <v>45632</v>
      </c>
      <c r="D191" s="5">
        <v>575.94000000000005</v>
      </c>
      <c r="E191" t="s">
        <v>148</v>
      </c>
    </row>
    <row r="192" spans="1:5">
      <c r="A192">
        <v>191</v>
      </c>
      <c r="B192">
        <v>25</v>
      </c>
      <c r="C192" s="4">
        <v>45449</v>
      </c>
      <c r="D192" s="5">
        <v>707.94</v>
      </c>
      <c r="E192" t="s">
        <v>151</v>
      </c>
    </row>
    <row r="193" spans="1:5">
      <c r="A193">
        <v>192</v>
      </c>
      <c r="B193">
        <v>9</v>
      </c>
      <c r="C193" s="4">
        <v>45382</v>
      </c>
      <c r="D193" s="5">
        <v>703.24</v>
      </c>
      <c r="E193" t="s">
        <v>149</v>
      </c>
    </row>
    <row r="194" spans="1:5">
      <c r="A194">
        <v>193</v>
      </c>
      <c r="B194">
        <v>37</v>
      </c>
      <c r="C194" s="4">
        <v>45308</v>
      </c>
      <c r="D194" s="5">
        <v>205.69</v>
      </c>
      <c r="E194" t="s">
        <v>151</v>
      </c>
    </row>
    <row r="195" spans="1:5">
      <c r="A195">
        <v>194</v>
      </c>
      <c r="B195">
        <v>40</v>
      </c>
      <c r="C195" s="4">
        <v>45405</v>
      </c>
      <c r="D195" s="5">
        <v>622.08000000000004</v>
      </c>
      <c r="E195" t="s">
        <v>150</v>
      </c>
    </row>
    <row r="196" spans="1:5">
      <c r="A196">
        <v>195</v>
      </c>
      <c r="B196">
        <v>32</v>
      </c>
      <c r="C196" s="4">
        <v>45364</v>
      </c>
      <c r="D196" s="5">
        <v>341.36</v>
      </c>
      <c r="E196" t="s">
        <v>150</v>
      </c>
    </row>
    <row r="197" spans="1:5">
      <c r="A197">
        <v>196</v>
      </c>
      <c r="B197">
        <v>16</v>
      </c>
      <c r="C197" s="4">
        <v>45469</v>
      </c>
      <c r="D197" s="5">
        <v>933.97</v>
      </c>
      <c r="E197" t="s">
        <v>148</v>
      </c>
    </row>
    <row r="198" spans="1:5">
      <c r="A198">
        <v>197</v>
      </c>
      <c r="B198">
        <v>6</v>
      </c>
      <c r="C198" s="4">
        <v>45654</v>
      </c>
      <c r="D198" s="5">
        <v>649.72</v>
      </c>
      <c r="E198" t="s">
        <v>151</v>
      </c>
    </row>
    <row r="199" spans="1:5">
      <c r="A199">
        <v>198</v>
      </c>
      <c r="B199">
        <v>29</v>
      </c>
      <c r="C199" s="4">
        <v>45297</v>
      </c>
      <c r="D199" s="5">
        <v>281.33999999999997</v>
      </c>
      <c r="E199" t="s">
        <v>148</v>
      </c>
    </row>
    <row r="200" spans="1:5">
      <c r="A200">
        <v>199</v>
      </c>
      <c r="B200">
        <v>5</v>
      </c>
      <c r="C200" s="4">
        <v>45471</v>
      </c>
      <c r="D200" s="5">
        <v>273.56</v>
      </c>
      <c r="E200" t="s">
        <v>150</v>
      </c>
    </row>
    <row r="201" spans="1:5">
      <c r="A201">
        <v>200</v>
      </c>
      <c r="B201">
        <v>1</v>
      </c>
      <c r="C201" s="4">
        <v>45316</v>
      </c>
      <c r="D201" s="5">
        <v>391.2</v>
      </c>
      <c r="E201" t="s">
        <v>149</v>
      </c>
    </row>
    <row r="202" spans="1:5">
      <c r="A202">
        <v>201</v>
      </c>
      <c r="B202">
        <v>11</v>
      </c>
      <c r="C202" s="4">
        <v>45503</v>
      </c>
      <c r="D202" s="5">
        <v>488.7</v>
      </c>
      <c r="E202" t="s">
        <v>149</v>
      </c>
    </row>
    <row r="203" spans="1:5">
      <c r="A203">
        <v>202</v>
      </c>
      <c r="B203">
        <v>23</v>
      </c>
      <c r="C203" s="4">
        <v>45571</v>
      </c>
      <c r="D203" s="5">
        <v>381.57</v>
      </c>
      <c r="E203" t="s">
        <v>149</v>
      </c>
    </row>
    <row r="204" spans="1:5">
      <c r="A204">
        <v>203</v>
      </c>
      <c r="B204">
        <v>37</v>
      </c>
      <c r="C204" s="4">
        <v>45625</v>
      </c>
      <c r="D204" s="5">
        <v>730</v>
      </c>
      <c r="E204" t="s">
        <v>148</v>
      </c>
    </row>
    <row r="205" spans="1:5">
      <c r="A205">
        <v>204</v>
      </c>
      <c r="B205">
        <v>11</v>
      </c>
      <c r="C205" s="4">
        <v>45523</v>
      </c>
      <c r="D205" s="5">
        <v>107.08</v>
      </c>
      <c r="E205" t="s">
        <v>150</v>
      </c>
    </row>
    <row r="206" spans="1:5">
      <c r="A206">
        <v>205</v>
      </c>
      <c r="B206">
        <v>19</v>
      </c>
      <c r="C206" s="4">
        <v>45302</v>
      </c>
      <c r="D206" s="5">
        <v>330.03</v>
      </c>
      <c r="E206" t="s">
        <v>150</v>
      </c>
    </row>
    <row r="207" spans="1:5">
      <c r="A207">
        <v>206</v>
      </c>
      <c r="B207">
        <v>5</v>
      </c>
      <c r="C207" s="4">
        <v>45467</v>
      </c>
      <c r="D207" s="5">
        <v>194.8</v>
      </c>
      <c r="E207" t="s">
        <v>149</v>
      </c>
    </row>
    <row r="208" spans="1:5">
      <c r="A208">
        <v>207</v>
      </c>
      <c r="B208">
        <v>11</v>
      </c>
      <c r="C208" s="4">
        <v>45330</v>
      </c>
      <c r="D208" s="5">
        <v>537.80999999999995</v>
      </c>
      <c r="E208" t="s">
        <v>150</v>
      </c>
    </row>
    <row r="209" spans="1:5">
      <c r="A209">
        <v>208</v>
      </c>
      <c r="B209">
        <v>22</v>
      </c>
      <c r="C209" s="4">
        <v>45596</v>
      </c>
      <c r="D209" s="5">
        <v>936.6</v>
      </c>
      <c r="E209" t="s">
        <v>149</v>
      </c>
    </row>
    <row r="210" spans="1:5">
      <c r="A210">
        <v>209</v>
      </c>
      <c r="B210">
        <v>2</v>
      </c>
      <c r="C210" s="4">
        <v>45512</v>
      </c>
      <c r="D210" s="5">
        <v>897.62</v>
      </c>
      <c r="E210" t="s">
        <v>148</v>
      </c>
    </row>
    <row r="211" spans="1:5">
      <c r="A211">
        <v>210</v>
      </c>
      <c r="B211">
        <v>39</v>
      </c>
      <c r="C211" s="4">
        <v>45514</v>
      </c>
      <c r="D211" s="5">
        <v>182.96</v>
      </c>
      <c r="E211" t="s">
        <v>150</v>
      </c>
    </row>
    <row r="212" spans="1:5">
      <c r="A212">
        <v>211</v>
      </c>
      <c r="B212">
        <v>22</v>
      </c>
      <c r="C212" s="4">
        <v>45397</v>
      </c>
      <c r="D212" s="5">
        <v>926.7</v>
      </c>
      <c r="E212" t="s">
        <v>149</v>
      </c>
    </row>
    <row r="213" spans="1:5">
      <c r="A213">
        <v>212</v>
      </c>
      <c r="B213">
        <v>36</v>
      </c>
      <c r="C213" s="4">
        <v>45568</v>
      </c>
      <c r="D213" s="5">
        <v>281.39</v>
      </c>
      <c r="E213" t="s">
        <v>151</v>
      </c>
    </row>
    <row r="214" spans="1:5">
      <c r="A214">
        <v>213</v>
      </c>
      <c r="B214">
        <v>20</v>
      </c>
      <c r="C214" s="4">
        <v>45413</v>
      </c>
      <c r="D214" s="5">
        <v>127.28</v>
      </c>
      <c r="E214" t="s">
        <v>149</v>
      </c>
    </row>
    <row r="215" spans="1:5">
      <c r="A215">
        <v>214</v>
      </c>
      <c r="B215">
        <v>37</v>
      </c>
      <c r="C215" s="4">
        <v>45573</v>
      </c>
      <c r="D215" s="5">
        <v>804.27</v>
      </c>
      <c r="E215" t="s">
        <v>148</v>
      </c>
    </row>
    <row r="216" spans="1:5">
      <c r="A216">
        <v>215</v>
      </c>
      <c r="B216">
        <v>4</v>
      </c>
      <c r="C216" s="4">
        <v>45476</v>
      </c>
      <c r="D216" s="5">
        <v>43.47</v>
      </c>
      <c r="E216" t="s">
        <v>150</v>
      </c>
    </row>
    <row r="217" spans="1:5">
      <c r="A217">
        <v>216</v>
      </c>
      <c r="B217">
        <v>19</v>
      </c>
      <c r="C217" s="4">
        <v>45630</v>
      </c>
      <c r="D217" s="5">
        <v>608.83000000000004</v>
      </c>
      <c r="E217" t="s">
        <v>149</v>
      </c>
    </row>
    <row r="218" spans="1:5">
      <c r="A218">
        <v>217</v>
      </c>
      <c r="B218">
        <v>13</v>
      </c>
      <c r="C218" s="4">
        <v>45341</v>
      </c>
      <c r="D218" s="5">
        <v>63.42</v>
      </c>
      <c r="E218" t="s">
        <v>148</v>
      </c>
    </row>
    <row r="219" spans="1:5">
      <c r="A219">
        <v>218</v>
      </c>
      <c r="B219">
        <v>19</v>
      </c>
      <c r="C219" s="4">
        <v>45333</v>
      </c>
      <c r="D219" s="5">
        <v>470.95</v>
      </c>
      <c r="E219" t="s">
        <v>150</v>
      </c>
    </row>
    <row r="220" spans="1:5">
      <c r="A220">
        <v>219</v>
      </c>
      <c r="B220">
        <v>20</v>
      </c>
      <c r="C220" s="4">
        <v>45495</v>
      </c>
      <c r="D220" s="5">
        <v>468.56</v>
      </c>
      <c r="E220" t="s">
        <v>151</v>
      </c>
    </row>
    <row r="221" spans="1:5">
      <c r="A221">
        <v>220</v>
      </c>
      <c r="B221">
        <v>6</v>
      </c>
      <c r="C221" s="4">
        <v>45620</v>
      </c>
      <c r="D221" s="5">
        <v>535.15</v>
      </c>
      <c r="E221" t="s">
        <v>148</v>
      </c>
    </row>
    <row r="222" spans="1:5">
      <c r="A222">
        <v>221</v>
      </c>
      <c r="B222">
        <v>24</v>
      </c>
      <c r="C222" s="4">
        <v>45487</v>
      </c>
      <c r="D222" s="5">
        <v>376.16</v>
      </c>
      <c r="E222" t="s">
        <v>149</v>
      </c>
    </row>
    <row r="223" spans="1:5">
      <c r="A223">
        <v>222</v>
      </c>
      <c r="B223">
        <v>3</v>
      </c>
      <c r="C223" s="4">
        <v>45426</v>
      </c>
      <c r="D223" s="5">
        <v>440.16</v>
      </c>
      <c r="E223" t="s">
        <v>151</v>
      </c>
    </row>
    <row r="224" spans="1:5">
      <c r="A224">
        <v>223</v>
      </c>
      <c r="B224">
        <v>15</v>
      </c>
      <c r="C224" s="4">
        <v>45429</v>
      </c>
      <c r="D224" s="5">
        <v>553.46</v>
      </c>
      <c r="E224" t="s">
        <v>148</v>
      </c>
    </row>
    <row r="225" spans="1:5">
      <c r="A225">
        <v>224</v>
      </c>
      <c r="B225">
        <v>7</v>
      </c>
      <c r="C225" s="4">
        <v>45335</v>
      </c>
      <c r="D225" s="5">
        <v>648.01</v>
      </c>
      <c r="E225" t="s">
        <v>149</v>
      </c>
    </row>
    <row r="226" spans="1:5">
      <c r="A226">
        <v>225</v>
      </c>
      <c r="B226">
        <v>38</v>
      </c>
      <c r="C226" s="4">
        <v>45408</v>
      </c>
      <c r="D226" s="5">
        <v>543.78</v>
      </c>
      <c r="E226" t="s">
        <v>149</v>
      </c>
    </row>
    <row r="227" spans="1:5">
      <c r="A227">
        <v>226</v>
      </c>
      <c r="B227">
        <v>34</v>
      </c>
      <c r="C227" s="4">
        <v>45506</v>
      </c>
      <c r="D227" s="5">
        <v>918.72</v>
      </c>
      <c r="E227" t="s">
        <v>149</v>
      </c>
    </row>
    <row r="228" spans="1:5">
      <c r="A228">
        <v>227</v>
      </c>
      <c r="B228">
        <v>37</v>
      </c>
      <c r="C228" s="4">
        <v>45412</v>
      </c>
      <c r="D228" s="5">
        <v>473.4</v>
      </c>
      <c r="E228" t="s">
        <v>150</v>
      </c>
    </row>
    <row r="229" spans="1:5">
      <c r="A229">
        <v>228</v>
      </c>
      <c r="B229">
        <v>26</v>
      </c>
      <c r="C229" s="4">
        <v>45657</v>
      </c>
      <c r="D229" s="5">
        <v>71.599999999999994</v>
      </c>
      <c r="E229" t="s">
        <v>148</v>
      </c>
    </row>
    <row r="230" spans="1:5">
      <c r="A230">
        <v>229</v>
      </c>
      <c r="B230">
        <v>8</v>
      </c>
      <c r="C230" s="4">
        <v>45521</v>
      </c>
      <c r="D230" s="5">
        <v>197.32</v>
      </c>
      <c r="E230" t="s">
        <v>148</v>
      </c>
    </row>
    <row r="231" spans="1:5">
      <c r="A231">
        <v>230</v>
      </c>
      <c r="B231">
        <v>14</v>
      </c>
      <c r="C231" s="4">
        <v>45390</v>
      </c>
      <c r="D231" s="5">
        <v>154.83000000000001</v>
      </c>
      <c r="E231" t="s">
        <v>149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67"/>
  <sheetViews>
    <sheetView workbookViewId="0"/>
  </sheetViews>
  <sheetFormatPr defaultRowHeight="14.25"/>
  <cols>
    <col min="1" max="1" width="14" customWidth="1"/>
    <col min="2" max="3" width="10" customWidth="1"/>
    <col min="4" max="4" width="16" customWidth="1"/>
    <col min="5" max="5" width="10" customWidth="1"/>
  </cols>
  <sheetData>
    <row r="1" spans="1:5" ht="15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</row>
    <row r="2" spans="1:5">
      <c r="A2" s="4">
        <v>45292</v>
      </c>
      <c r="B2">
        <v>2024</v>
      </c>
      <c r="C2">
        <v>1</v>
      </c>
      <c r="D2" t="s">
        <v>157</v>
      </c>
      <c r="E2">
        <v>1</v>
      </c>
    </row>
    <row r="3" spans="1:5">
      <c r="A3" s="4">
        <v>45293</v>
      </c>
      <c r="B3">
        <v>2024</v>
      </c>
      <c r="C3">
        <v>1</v>
      </c>
      <c r="D3" t="s">
        <v>157</v>
      </c>
      <c r="E3">
        <v>1</v>
      </c>
    </row>
    <row r="4" spans="1:5">
      <c r="A4" s="4">
        <v>45294</v>
      </c>
      <c r="B4">
        <v>2024</v>
      </c>
      <c r="C4">
        <v>1</v>
      </c>
      <c r="D4" t="s">
        <v>157</v>
      </c>
      <c r="E4">
        <v>1</v>
      </c>
    </row>
    <row r="5" spans="1:5">
      <c r="A5" s="4">
        <v>45295</v>
      </c>
      <c r="B5">
        <v>2024</v>
      </c>
      <c r="C5">
        <v>1</v>
      </c>
      <c r="D5" t="s">
        <v>157</v>
      </c>
      <c r="E5">
        <v>1</v>
      </c>
    </row>
    <row r="6" spans="1:5">
      <c r="A6" s="4">
        <v>45296</v>
      </c>
      <c r="B6">
        <v>2024</v>
      </c>
      <c r="C6">
        <v>1</v>
      </c>
      <c r="D6" t="s">
        <v>157</v>
      </c>
      <c r="E6">
        <v>1</v>
      </c>
    </row>
    <row r="7" spans="1:5">
      <c r="A7" s="4">
        <v>45297</v>
      </c>
      <c r="B7">
        <v>2024</v>
      </c>
      <c r="C7">
        <v>1</v>
      </c>
      <c r="D7" t="s">
        <v>157</v>
      </c>
      <c r="E7">
        <v>1</v>
      </c>
    </row>
    <row r="8" spans="1:5">
      <c r="A8" s="4">
        <v>45298</v>
      </c>
      <c r="B8">
        <v>2024</v>
      </c>
      <c r="C8">
        <v>1</v>
      </c>
      <c r="D8" t="s">
        <v>157</v>
      </c>
      <c r="E8">
        <v>1</v>
      </c>
    </row>
    <row r="9" spans="1:5">
      <c r="A9" s="4">
        <v>45299</v>
      </c>
      <c r="B9">
        <v>2024</v>
      </c>
      <c r="C9">
        <v>1</v>
      </c>
      <c r="D9" t="s">
        <v>157</v>
      </c>
      <c r="E9">
        <v>1</v>
      </c>
    </row>
    <row r="10" spans="1:5">
      <c r="A10" s="4">
        <v>45300</v>
      </c>
      <c r="B10">
        <v>2024</v>
      </c>
      <c r="C10">
        <v>1</v>
      </c>
      <c r="D10" t="s">
        <v>157</v>
      </c>
      <c r="E10">
        <v>1</v>
      </c>
    </row>
    <row r="11" spans="1:5">
      <c r="A11" s="4">
        <v>45301</v>
      </c>
      <c r="B11">
        <v>2024</v>
      </c>
      <c r="C11">
        <v>1</v>
      </c>
      <c r="D11" t="s">
        <v>157</v>
      </c>
      <c r="E11">
        <v>1</v>
      </c>
    </row>
    <row r="12" spans="1:5">
      <c r="A12" s="4">
        <v>45302</v>
      </c>
      <c r="B12">
        <v>2024</v>
      </c>
      <c r="C12">
        <v>1</v>
      </c>
      <c r="D12" t="s">
        <v>157</v>
      </c>
      <c r="E12">
        <v>1</v>
      </c>
    </row>
    <row r="13" spans="1:5">
      <c r="A13" s="4">
        <v>45303</v>
      </c>
      <c r="B13">
        <v>2024</v>
      </c>
      <c r="C13">
        <v>1</v>
      </c>
      <c r="D13" t="s">
        <v>157</v>
      </c>
      <c r="E13">
        <v>1</v>
      </c>
    </row>
    <row r="14" spans="1:5">
      <c r="A14" s="4">
        <v>45304</v>
      </c>
      <c r="B14">
        <v>2024</v>
      </c>
      <c r="C14">
        <v>1</v>
      </c>
      <c r="D14" t="s">
        <v>157</v>
      </c>
      <c r="E14">
        <v>1</v>
      </c>
    </row>
    <row r="15" spans="1:5">
      <c r="A15" s="4">
        <v>45305</v>
      </c>
      <c r="B15">
        <v>2024</v>
      </c>
      <c r="C15">
        <v>1</v>
      </c>
      <c r="D15" t="s">
        <v>157</v>
      </c>
      <c r="E15">
        <v>1</v>
      </c>
    </row>
    <row r="16" spans="1:5">
      <c r="A16" s="4">
        <v>45306</v>
      </c>
      <c r="B16">
        <v>2024</v>
      </c>
      <c r="C16">
        <v>1</v>
      </c>
      <c r="D16" t="s">
        <v>157</v>
      </c>
      <c r="E16">
        <v>1</v>
      </c>
    </row>
    <row r="17" spans="1:5">
      <c r="A17" s="4">
        <v>45307</v>
      </c>
      <c r="B17">
        <v>2024</v>
      </c>
      <c r="C17">
        <v>1</v>
      </c>
      <c r="D17" t="s">
        <v>157</v>
      </c>
      <c r="E17">
        <v>1</v>
      </c>
    </row>
    <row r="18" spans="1:5">
      <c r="A18" s="4">
        <v>45308</v>
      </c>
      <c r="B18">
        <v>2024</v>
      </c>
      <c r="C18">
        <v>1</v>
      </c>
      <c r="D18" t="s">
        <v>157</v>
      </c>
      <c r="E18">
        <v>1</v>
      </c>
    </row>
    <row r="19" spans="1:5">
      <c r="A19" s="4">
        <v>45309</v>
      </c>
      <c r="B19">
        <v>2024</v>
      </c>
      <c r="C19">
        <v>1</v>
      </c>
      <c r="D19" t="s">
        <v>157</v>
      </c>
      <c r="E19">
        <v>1</v>
      </c>
    </row>
    <row r="20" spans="1:5">
      <c r="A20" s="4">
        <v>45310</v>
      </c>
      <c r="B20">
        <v>2024</v>
      </c>
      <c r="C20">
        <v>1</v>
      </c>
      <c r="D20" t="s">
        <v>157</v>
      </c>
      <c r="E20">
        <v>1</v>
      </c>
    </row>
    <row r="21" spans="1:5">
      <c r="A21" s="4">
        <v>45311</v>
      </c>
      <c r="B21">
        <v>2024</v>
      </c>
      <c r="C21">
        <v>1</v>
      </c>
      <c r="D21" t="s">
        <v>157</v>
      </c>
      <c r="E21">
        <v>1</v>
      </c>
    </row>
    <row r="22" spans="1:5">
      <c r="A22" s="4">
        <v>45312</v>
      </c>
      <c r="B22">
        <v>2024</v>
      </c>
      <c r="C22">
        <v>1</v>
      </c>
      <c r="D22" t="s">
        <v>157</v>
      </c>
      <c r="E22">
        <v>1</v>
      </c>
    </row>
    <row r="23" spans="1:5">
      <c r="A23" s="4">
        <v>45313</v>
      </c>
      <c r="B23">
        <v>2024</v>
      </c>
      <c r="C23">
        <v>1</v>
      </c>
      <c r="D23" t="s">
        <v>157</v>
      </c>
      <c r="E23">
        <v>1</v>
      </c>
    </row>
    <row r="24" spans="1:5">
      <c r="A24" s="4">
        <v>45314</v>
      </c>
      <c r="B24">
        <v>2024</v>
      </c>
      <c r="C24">
        <v>1</v>
      </c>
      <c r="D24" t="s">
        <v>157</v>
      </c>
      <c r="E24">
        <v>1</v>
      </c>
    </row>
    <row r="25" spans="1:5">
      <c r="A25" s="4">
        <v>45315</v>
      </c>
      <c r="B25">
        <v>2024</v>
      </c>
      <c r="C25">
        <v>1</v>
      </c>
      <c r="D25" t="s">
        <v>157</v>
      </c>
      <c r="E25">
        <v>1</v>
      </c>
    </row>
    <row r="26" spans="1:5">
      <c r="A26" s="4">
        <v>45316</v>
      </c>
      <c r="B26">
        <v>2024</v>
      </c>
      <c r="C26">
        <v>1</v>
      </c>
      <c r="D26" t="s">
        <v>157</v>
      </c>
      <c r="E26">
        <v>1</v>
      </c>
    </row>
    <row r="27" spans="1:5">
      <c r="A27" s="4">
        <v>45317</v>
      </c>
      <c r="B27">
        <v>2024</v>
      </c>
      <c r="C27">
        <v>1</v>
      </c>
      <c r="D27" t="s">
        <v>157</v>
      </c>
      <c r="E27">
        <v>1</v>
      </c>
    </row>
    <row r="28" spans="1:5">
      <c r="A28" s="4">
        <v>45318</v>
      </c>
      <c r="B28">
        <v>2024</v>
      </c>
      <c r="C28">
        <v>1</v>
      </c>
      <c r="D28" t="s">
        <v>157</v>
      </c>
      <c r="E28">
        <v>1</v>
      </c>
    </row>
    <row r="29" spans="1:5">
      <c r="A29" s="4">
        <v>45319</v>
      </c>
      <c r="B29">
        <v>2024</v>
      </c>
      <c r="C29">
        <v>1</v>
      </c>
      <c r="D29" t="s">
        <v>157</v>
      </c>
      <c r="E29">
        <v>1</v>
      </c>
    </row>
    <row r="30" spans="1:5">
      <c r="A30" s="4">
        <v>45320</v>
      </c>
      <c r="B30">
        <v>2024</v>
      </c>
      <c r="C30">
        <v>1</v>
      </c>
      <c r="D30" t="s">
        <v>157</v>
      </c>
      <c r="E30">
        <v>1</v>
      </c>
    </row>
    <row r="31" spans="1:5">
      <c r="A31" s="4">
        <v>45321</v>
      </c>
      <c r="B31">
        <v>2024</v>
      </c>
      <c r="C31">
        <v>1</v>
      </c>
      <c r="D31" t="s">
        <v>157</v>
      </c>
      <c r="E31">
        <v>1</v>
      </c>
    </row>
    <row r="32" spans="1:5">
      <c r="A32" s="4">
        <v>45322</v>
      </c>
      <c r="B32">
        <v>2024</v>
      </c>
      <c r="C32">
        <v>1</v>
      </c>
      <c r="D32" t="s">
        <v>157</v>
      </c>
      <c r="E32">
        <v>1</v>
      </c>
    </row>
    <row r="33" spans="1:5">
      <c r="A33" s="4">
        <v>45323</v>
      </c>
      <c r="B33">
        <v>2024</v>
      </c>
      <c r="C33">
        <v>2</v>
      </c>
      <c r="D33" t="s">
        <v>158</v>
      </c>
      <c r="E33">
        <v>1</v>
      </c>
    </row>
    <row r="34" spans="1:5">
      <c r="A34" s="4">
        <v>45324</v>
      </c>
      <c r="B34">
        <v>2024</v>
      </c>
      <c r="C34">
        <v>2</v>
      </c>
      <c r="D34" t="s">
        <v>158</v>
      </c>
      <c r="E34">
        <v>1</v>
      </c>
    </row>
    <row r="35" spans="1:5">
      <c r="A35" s="4">
        <v>45325</v>
      </c>
      <c r="B35">
        <v>2024</v>
      </c>
      <c r="C35">
        <v>2</v>
      </c>
      <c r="D35" t="s">
        <v>158</v>
      </c>
      <c r="E35">
        <v>1</v>
      </c>
    </row>
    <row r="36" spans="1:5">
      <c r="A36" s="4">
        <v>45326</v>
      </c>
      <c r="B36">
        <v>2024</v>
      </c>
      <c r="C36">
        <v>2</v>
      </c>
      <c r="D36" t="s">
        <v>158</v>
      </c>
      <c r="E36">
        <v>1</v>
      </c>
    </row>
    <row r="37" spans="1:5">
      <c r="A37" s="4">
        <v>45327</v>
      </c>
      <c r="B37">
        <v>2024</v>
      </c>
      <c r="C37">
        <v>2</v>
      </c>
      <c r="D37" t="s">
        <v>158</v>
      </c>
      <c r="E37">
        <v>1</v>
      </c>
    </row>
    <row r="38" spans="1:5">
      <c r="A38" s="4">
        <v>45328</v>
      </c>
      <c r="B38">
        <v>2024</v>
      </c>
      <c r="C38">
        <v>2</v>
      </c>
      <c r="D38" t="s">
        <v>158</v>
      </c>
      <c r="E38">
        <v>1</v>
      </c>
    </row>
    <row r="39" spans="1:5">
      <c r="A39" s="4">
        <v>45329</v>
      </c>
      <c r="B39">
        <v>2024</v>
      </c>
      <c r="C39">
        <v>2</v>
      </c>
      <c r="D39" t="s">
        <v>158</v>
      </c>
      <c r="E39">
        <v>1</v>
      </c>
    </row>
    <row r="40" spans="1:5">
      <c r="A40" s="4">
        <v>45330</v>
      </c>
      <c r="B40">
        <v>2024</v>
      </c>
      <c r="C40">
        <v>2</v>
      </c>
      <c r="D40" t="s">
        <v>158</v>
      </c>
      <c r="E40">
        <v>1</v>
      </c>
    </row>
    <row r="41" spans="1:5">
      <c r="A41" s="4">
        <v>45331</v>
      </c>
      <c r="B41">
        <v>2024</v>
      </c>
      <c r="C41">
        <v>2</v>
      </c>
      <c r="D41" t="s">
        <v>158</v>
      </c>
      <c r="E41">
        <v>1</v>
      </c>
    </row>
    <row r="42" spans="1:5">
      <c r="A42" s="4">
        <v>45332</v>
      </c>
      <c r="B42">
        <v>2024</v>
      </c>
      <c r="C42">
        <v>2</v>
      </c>
      <c r="D42" t="s">
        <v>158</v>
      </c>
      <c r="E42">
        <v>1</v>
      </c>
    </row>
    <row r="43" spans="1:5">
      <c r="A43" s="4">
        <v>45333</v>
      </c>
      <c r="B43">
        <v>2024</v>
      </c>
      <c r="C43">
        <v>2</v>
      </c>
      <c r="D43" t="s">
        <v>158</v>
      </c>
      <c r="E43">
        <v>1</v>
      </c>
    </row>
    <row r="44" spans="1:5">
      <c r="A44" s="4">
        <v>45334</v>
      </c>
      <c r="B44">
        <v>2024</v>
      </c>
      <c r="C44">
        <v>2</v>
      </c>
      <c r="D44" t="s">
        <v>158</v>
      </c>
      <c r="E44">
        <v>1</v>
      </c>
    </row>
    <row r="45" spans="1:5">
      <c r="A45" s="4">
        <v>45335</v>
      </c>
      <c r="B45">
        <v>2024</v>
      </c>
      <c r="C45">
        <v>2</v>
      </c>
      <c r="D45" t="s">
        <v>158</v>
      </c>
      <c r="E45">
        <v>1</v>
      </c>
    </row>
    <row r="46" spans="1:5">
      <c r="A46" s="4">
        <v>45336</v>
      </c>
      <c r="B46">
        <v>2024</v>
      </c>
      <c r="C46">
        <v>2</v>
      </c>
      <c r="D46" t="s">
        <v>158</v>
      </c>
      <c r="E46">
        <v>1</v>
      </c>
    </row>
    <row r="47" spans="1:5">
      <c r="A47" s="4">
        <v>45337</v>
      </c>
      <c r="B47">
        <v>2024</v>
      </c>
      <c r="C47">
        <v>2</v>
      </c>
      <c r="D47" t="s">
        <v>158</v>
      </c>
      <c r="E47">
        <v>1</v>
      </c>
    </row>
    <row r="48" spans="1:5">
      <c r="A48" s="4">
        <v>45338</v>
      </c>
      <c r="B48">
        <v>2024</v>
      </c>
      <c r="C48">
        <v>2</v>
      </c>
      <c r="D48" t="s">
        <v>158</v>
      </c>
      <c r="E48">
        <v>1</v>
      </c>
    </row>
    <row r="49" spans="1:5">
      <c r="A49" s="4">
        <v>45339</v>
      </c>
      <c r="B49">
        <v>2024</v>
      </c>
      <c r="C49">
        <v>2</v>
      </c>
      <c r="D49" t="s">
        <v>158</v>
      </c>
      <c r="E49">
        <v>1</v>
      </c>
    </row>
    <row r="50" spans="1:5">
      <c r="A50" s="4">
        <v>45340</v>
      </c>
      <c r="B50">
        <v>2024</v>
      </c>
      <c r="C50">
        <v>2</v>
      </c>
      <c r="D50" t="s">
        <v>158</v>
      </c>
      <c r="E50">
        <v>1</v>
      </c>
    </row>
    <row r="51" spans="1:5">
      <c r="A51" s="4">
        <v>45341</v>
      </c>
      <c r="B51">
        <v>2024</v>
      </c>
      <c r="C51">
        <v>2</v>
      </c>
      <c r="D51" t="s">
        <v>158</v>
      </c>
      <c r="E51">
        <v>1</v>
      </c>
    </row>
    <row r="52" spans="1:5">
      <c r="A52" s="4">
        <v>45342</v>
      </c>
      <c r="B52">
        <v>2024</v>
      </c>
      <c r="C52">
        <v>2</v>
      </c>
      <c r="D52" t="s">
        <v>158</v>
      </c>
      <c r="E52">
        <v>1</v>
      </c>
    </row>
    <row r="53" spans="1:5">
      <c r="A53" s="4">
        <v>45343</v>
      </c>
      <c r="B53">
        <v>2024</v>
      </c>
      <c r="C53">
        <v>2</v>
      </c>
      <c r="D53" t="s">
        <v>158</v>
      </c>
      <c r="E53">
        <v>1</v>
      </c>
    </row>
    <row r="54" spans="1:5">
      <c r="A54" s="4">
        <v>45344</v>
      </c>
      <c r="B54">
        <v>2024</v>
      </c>
      <c r="C54">
        <v>2</v>
      </c>
      <c r="D54" t="s">
        <v>158</v>
      </c>
      <c r="E54">
        <v>1</v>
      </c>
    </row>
    <row r="55" spans="1:5">
      <c r="A55" s="4">
        <v>45345</v>
      </c>
      <c r="B55">
        <v>2024</v>
      </c>
      <c r="C55">
        <v>2</v>
      </c>
      <c r="D55" t="s">
        <v>158</v>
      </c>
      <c r="E55">
        <v>1</v>
      </c>
    </row>
    <row r="56" spans="1:5">
      <c r="A56" s="4">
        <v>45346</v>
      </c>
      <c r="B56">
        <v>2024</v>
      </c>
      <c r="C56">
        <v>2</v>
      </c>
      <c r="D56" t="s">
        <v>158</v>
      </c>
      <c r="E56">
        <v>1</v>
      </c>
    </row>
    <row r="57" spans="1:5">
      <c r="A57" s="4">
        <v>45347</v>
      </c>
      <c r="B57">
        <v>2024</v>
      </c>
      <c r="C57">
        <v>2</v>
      </c>
      <c r="D57" t="s">
        <v>158</v>
      </c>
      <c r="E57">
        <v>1</v>
      </c>
    </row>
    <row r="58" spans="1:5">
      <c r="A58" s="4">
        <v>45348</v>
      </c>
      <c r="B58">
        <v>2024</v>
      </c>
      <c r="C58">
        <v>2</v>
      </c>
      <c r="D58" t="s">
        <v>158</v>
      </c>
      <c r="E58">
        <v>1</v>
      </c>
    </row>
    <row r="59" spans="1:5">
      <c r="A59" s="4">
        <v>45349</v>
      </c>
      <c r="B59">
        <v>2024</v>
      </c>
      <c r="C59">
        <v>2</v>
      </c>
      <c r="D59" t="s">
        <v>158</v>
      </c>
      <c r="E59">
        <v>1</v>
      </c>
    </row>
    <row r="60" spans="1:5">
      <c r="A60" s="4">
        <v>45350</v>
      </c>
      <c r="B60">
        <v>2024</v>
      </c>
      <c r="C60">
        <v>2</v>
      </c>
      <c r="D60" t="s">
        <v>158</v>
      </c>
      <c r="E60">
        <v>1</v>
      </c>
    </row>
    <row r="61" spans="1:5">
      <c r="A61" s="4">
        <v>45351</v>
      </c>
      <c r="B61">
        <v>2024</v>
      </c>
      <c r="C61">
        <v>2</v>
      </c>
      <c r="D61" t="s">
        <v>158</v>
      </c>
      <c r="E61">
        <v>1</v>
      </c>
    </row>
    <row r="62" spans="1:5">
      <c r="A62" s="4">
        <v>45352</v>
      </c>
      <c r="B62">
        <v>2024</v>
      </c>
      <c r="C62">
        <v>3</v>
      </c>
      <c r="D62" t="s">
        <v>159</v>
      </c>
      <c r="E62">
        <v>1</v>
      </c>
    </row>
    <row r="63" spans="1:5">
      <c r="A63" s="4">
        <v>45353</v>
      </c>
      <c r="B63">
        <v>2024</v>
      </c>
      <c r="C63">
        <v>3</v>
      </c>
      <c r="D63" t="s">
        <v>159</v>
      </c>
      <c r="E63">
        <v>1</v>
      </c>
    </row>
    <row r="64" spans="1:5">
      <c r="A64" s="4">
        <v>45354</v>
      </c>
      <c r="B64">
        <v>2024</v>
      </c>
      <c r="C64">
        <v>3</v>
      </c>
      <c r="D64" t="s">
        <v>159</v>
      </c>
      <c r="E64">
        <v>1</v>
      </c>
    </row>
    <row r="65" spans="1:5">
      <c r="A65" s="4">
        <v>45355</v>
      </c>
      <c r="B65">
        <v>2024</v>
      </c>
      <c r="C65">
        <v>3</v>
      </c>
      <c r="D65" t="s">
        <v>159</v>
      </c>
      <c r="E65">
        <v>1</v>
      </c>
    </row>
    <row r="66" spans="1:5">
      <c r="A66" s="4">
        <v>45356</v>
      </c>
      <c r="B66">
        <v>2024</v>
      </c>
      <c r="C66">
        <v>3</v>
      </c>
      <c r="D66" t="s">
        <v>159</v>
      </c>
      <c r="E66">
        <v>1</v>
      </c>
    </row>
    <row r="67" spans="1:5">
      <c r="A67" s="4">
        <v>45357</v>
      </c>
      <c r="B67">
        <v>2024</v>
      </c>
      <c r="C67">
        <v>3</v>
      </c>
      <c r="D67" t="s">
        <v>159</v>
      </c>
      <c r="E67">
        <v>1</v>
      </c>
    </row>
    <row r="68" spans="1:5">
      <c r="A68" s="4">
        <v>45358</v>
      </c>
      <c r="B68">
        <v>2024</v>
      </c>
      <c r="C68">
        <v>3</v>
      </c>
      <c r="D68" t="s">
        <v>159</v>
      </c>
      <c r="E68">
        <v>1</v>
      </c>
    </row>
    <row r="69" spans="1:5">
      <c r="A69" s="4">
        <v>45359</v>
      </c>
      <c r="B69">
        <v>2024</v>
      </c>
      <c r="C69">
        <v>3</v>
      </c>
      <c r="D69" t="s">
        <v>159</v>
      </c>
      <c r="E69">
        <v>1</v>
      </c>
    </row>
    <row r="70" spans="1:5">
      <c r="A70" s="4">
        <v>45360</v>
      </c>
      <c r="B70">
        <v>2024</v>
      </c>
      <c r="C70">
        <v>3</v>
      </c>
      <c r="D70" t="s">
        <v>159</v>
      </c>
      <c r="E70">
        <v>1</v>
      </c>
    </row>
    <row r="71" spans="1:5">
      <c r="A71" s="4">
        <v>45361</v>
      </c>
      <c r="B71">
        <v>2024</v>
      </c>
      <c r="C71">
        <v>3</v>
      </c>
      <c r="D71" t="s">
        <v>159</v>
      </c>
      <c r="E71">
        <v>1</v>
      </c>
    </row>
    <row r="72" spans="1:5">
      <c r="A72" s="4">
        <v>45362</v>
      </c>
      <c r="B72">
        <v>2024</v>
      </c>
      <c r="C72">
        <v>3</v>
      </c>
      <c r="D72" t="s">
        <v>159</v>
      </c>
      <c r="E72">
        <v>1</v>
      </c>
    </row>
    <row r="73" spans="1:5">
      <c r="A73" s="4">
        <v>45363</v>
      </c>
      <c r="B73">
        <v>2024</v>
      </c>
      <c r="C73">
        <v>3</v>
      </c>
      <c r="D73" t="s">
        <v>159</v>
      </c>
      <c r="E73">
        <v>1</v>
      </c>
    </row>
    <row r="74" spans="1:5">
      <c r="A74" s="4">
        <v>45364</v>
      </c>
      <c r="B74">
        <v>2024</v>
      </c>
      <c r="C74">
        <v>3</v>
      </c>
      <c r="D74" t="s">
        <v>159</v>
      </c>
      <c r="E74">
        <v>1</v>
      </c>
    </row>
    <row r="75" spans="1:5">
      <c r="A75" s="4">
        <v>45365</v>
      </c>
      <c r="B75">
        <v>2024</v>
      </c>
      <c r="C75">
        <v>3</v>
      </c>
      <c r="D75" t="s">
        <v>159</v>
      </c>
      <c r="E75">
        <v>1</v>
      </c>
    </row>
    <row r="76" spans="1:5">
      <c r="A76" s="4">
        <v>45366</v>
      </c>
      <c r="B76">
        <v>2024</v>
      </c>
      <c r="C76">
        <v>3</v>
      </c>
      <c r="D76" t="s">
        <v>159</v>
      </c>
      <c r="E76">
        <v>1</v>
      </c>
    </row>
    <row r="77" spans="1:5">
      <c r="A77" s="4">
        <v>45367</v>
      </c>
      <c r="B77">
        <v>2024</v>
      </c>
      <c r="C77">
        <v>3</v>
      </c>
      <c r="D77" t="s">
        <v>159</v>
      </c>
      <c r="E77">
        <v>1</v>
      </c>
    </row>
    <row r="78" spans="1:5">
      <c r="A78" s="4">
        <v>45368</v>
      </c>
      <c r="B78">
        <v>2024</v>
      </c>
      <c r="C78">
        <v>3</v>
      </c>
      <c r="D78" t="s">
        <v>159</v>
      </c>
      <c r="E78">
        <v>1</v>
      </c>
    </row>
    <row r="79" spans="1:5">
      <c r="A79" s="4">
        <v>45369</v>
      </c>
      <c r="B79">
        <v>2024</v>
      </c>
      <c r="C79">
        <v>3</v>
      </c>
      <c r="D79" t="s">
        <v>159</v>
      </c>
      <c r="E79">
        <v>1</v>
      </c>
    </row>
    <row r="80" spans="1:5">
      <c r="A80" s="4">
        <v>45370</v>
      </c>
      <c r="B80">
        <v>2024</v>
      </c>
      <c r="C80">
        <v>3</v>
      </c>
      <c r="D80" t="s">
        <v>159</v>
      </c>
      <c r="E80">
        <v>1</v>
      </c>
    </row>
    <row r="81" spans="1:5">
      <c r="A81" s="4">
        <v>45371</v>
      </c>
      <c r="B81">
        <v>2024</v>
      </c>
      <c r="C81">
        <v>3</v>
      </c>
      <c r="D81" t="s">
        <v>159</v>
      </c>
      <c r="E81">
        <v>1</v>
      </c>
    </row>
    <row r="82" spans="1:5">
      <c r="A82" s="4">
        <v>45372</v>
      </c>
      <c r="B82">
        <v>2024</v>
      </c>
      <c r="C82">
        <v>3</v>
      </c>
      <c r="D82" t="s">
        <v>159</v>
      </c>
      <c r="E82">
        <v>1</v>
      </c>
    </row>
    <row r="83" spans="1:5">
      <c r="A83" s="4">
        <v>45373</v>
      </c>
      <c r="B83">
        <v>2024</v>
      </c>
      <c r="C83">
        <v>3</v>
      </c>
      <c r="D83" t="s">
        <v>159</v>
      </c>
      <c r="E83">
        <v>1</v>
      </c>
    </row>
    <row r="84" spans="1:5">
      <c r="A84" s="4">
        <v>45374</v>
      </c>
      <c r="B84">
        <v>2024</v>
      </c>
      <c r="C84">
        <v>3</v>
      </c>
      <c r="D84" t="s">
        <v>159</v>
      </c>
      <c r="E84">
        <v>1</v>
      </c>
    </row>
    <row r="85" spans="1:5">
      <c r="A85" s="4">
        <v>45375</v>
      </c>
      <c r="B85">
        <v>2024</v>
      </c>
      <c r="C85">
        <v>3</v>
      </c>
      <c r="D85" t="s">
        <v>159</v>
      </c>
      <c r="E85">
        <v>1</v>
      </c>
    </row>
    <row r="86" spans="1:5">
      <c r="A86" s="4">
        <v>45376</v>
      </c>
      <c r="B86">
        <v>2024</v>
      </c>
      <c r="C86">
        <v>3</v>
      </c>
      <c r="D86" t="s">
        <v>159</v>
      </c>
      <c r="E86">
        <v>1</v>
      </c>
    </row>
    <row r="87" spans="1:5">
      <c r="A87" s="4">
        <v>45377</v>
      </c>
      <c r="B87">
        <v>2024</v>
      </c>
      <c r="C87">
        <v>3</v>
      </c>
      <c r="D87" t="s">
        <v>159</v>
      </c>
      <c r="E87">
        <v>1</v>
      </c>
    </row>
    <row r="88" spans="1:5">
      <c r="A88" s="4">
        <v>45378</v>
      </c>
      <c r="B88">
        <v>2024</v>
      </c>
      <c r="C88">
        <v>3</v>
      </c>
      <c r="D88" t="s">
        <v>159</v>
      </c>
      <c r="E88">
        <v>1</v>
      </c>
    </row>
    <row r="89" spans="1:5">
      <c r="A89" s="4">
        <v>45379</v>
      </c>
      <c r="B89">
        <v>2024</v>
      </c>
      <c r="C89">
        <v>3</v>
      </c>
      <c r="D89" t="s">
        <v>159</v>
      </c>
      <c r="E89">
        <v>1</v>
      </c>
    </row>
    <row r="90" spans="1:5">
      <c r="A90" s="4">
        <v>45380</v>
      </c>
      <c r="B90">
        <v>2024</v>
      </c>
      <c r="C90">
        <v>3</v>
      </c>
      <c r="D90" t="s">
        <v>159</v>
      </c>
      <c r="E90">
        <v>1</v>
      </c>
    </row>
    <row r="91" spans="1:5">
      <c r="A91" s="4">
        <v>45381</v>
      </c>
      <c r="B91">
        <v>2024</v>
      </c>
      <c r="C91">
        <v>3</v>
      </c>
      <c r="D91" t="s">
        <v>159</v>
      </c>
      <c r="E91">
        <v>1</v>
      </c>
    </row>
    <row r="92" spans="1:5">
      <c r="A92" s="4">
        <v>45382</v>
      </c>
      <c r="B92">
        <v>2024</v>
      </c>
      <c r="C92">
        <v>3</v>
      </c>
      <c r="D92" t="s">
        <v>159</v>
      </c>
      <c r="E92">
        <v>1</v>
      </c>
    </row>
    <row r="93" spans="1:5">
      <c r="A93" s="4">
        <v>45383</v>
      </c>
      <c r="B93">
        <v>2024</v>
      </c>
      <c r="C93">
        <v>4</v>
      </c>
      <c r="D93" t="s">
        <v>160</v>
      </c>
      <c r="E93">
        <v>2</v>
      </c>
    </row>
    <row r="94" spans="1:5">
      <c r="A94" s="4">
        <v>45384</v>
      </c>
      <c r="B94">
        <v>2024</v>
      </c>
      <c r="C94">
        <v>4</v>
      </c>
      <c r="D94" t="s">
        <v>160</v>
      </c>
      <c r="E94">
        <v>2</v>
      </c>
    </row>
    <row r="95" spans="1:5">
      <c r="A95" s="4">
        <v>45385</v>
      </c>
      <c r="B95">
        <v>2024</v>
      </c>
      <c r="C95">
        <v>4</v>
      </c>
      <c r="D95" t="s">
        <v>160</v>
      </c>
      <c r="E95">
        <v>2</v>
      </c>
    </row>
    <row r="96" spans="1:5">
      <c r="A96" s="4">
        <v>45386</v>
      </c>
      <c r="B96">
        <v>2024</v>
      </c>
      <c r="C96">
        <v>4</v>
      </c>
      <c r="D96" t="s">
        <v>160</v>
      </c>
      <c r="E96">
        <v>2</v>
      </c>
    </row>
    <row r="97" spans="1:5">
      <c r="A97" s="4">
        <v>45387</v>
      </c>
      <c r="B97">
        <v>2024</v>
      </c>
      <c r="C97">
        <v>4</v>
      </c>
      <c r="D97" t="s">
        <v>160</v>
      </c>
      <c r="E97">
        <v>2</v>
      </c>
    </row>
    <row r="98" spans="1:5">
      <c r="A98" s="4">
        <v>45388</v>
      </c>
      <c r="B98">
        <v>2024</v>
      </c>
      <c r="C98">
        <v>4</v>
      </c>
      <c r="D98" t="s">
        <v>160</v>
      </c>
      <c r="E98">
        <v>2</v>
      </c>
    </row>
    <row r="99" spans="1:5">
      <c r="A99" s="4">
        <v>45389</v>
      </c>
      <c r="B99">
        <v>2024</v>
      </c>
      <c r="C99">
        <v>4</v>
      </c>
      <c r="D99" t="s">
        <v>160</v>
      </c>
      <c r="E99">
        <v>2</v>
      </c>
    </row>
    <row r="100" spans="1:5">
      <c r="A100" s="4">
        <v>45390</v>
      </c>
      <c r="B100">
        <v>2024</v>
      </c>
      <c r="C100">
        <v>4</v>
      </c>
      <c r="D100" t="s">
        <v>160</v>
      </c>
      <c r="E100">
        <v>2</v>
      </c>
    </row>
    <row r="101" spans="1:5">
      <c r="A101" s="4">
        <v>45391</v>
      </c>
      <c r="B101">
        <v>2024</v>
      </c>
      <c r="C101">
        <v>4</v>
      </c>
      <c r="D101" t="s">
        <v>160</v>
      </c>
      <c r="E101">
        <v>2</v>
      </c>
    </row>
    <row r="102" spans="1:5">
      <c r="A102" s="4">
        <v>45392</v>
      </c>
      <c r="B102">
        <v>2024</v>
      </c>
      <c r="C102">
        <v>4</v>
      </c>
      <c r="D102" t="s">
        <v>160</v>
      </c>
      <c r="E102">
        <v>2</v>
      </c>
    </row>
    <row r="103" spans="1:5">
      <c r="A103" s="4">
        <v>45393</v>
      </c>
      <c r="B103">
        <v>2024</v>
      </c>
      <c r="C103">
        <v>4</v>
      </c>
      <c r="D103" t="s">
        <v>160</v>
      </c>
      <c r="E103">
        <v>2</v>
      </c>
    </row>
    <row r="104" spans="1:5">
      <c r="A104" s="4">
        <v>45394</v>
      </c>
      <c r="B104">
        <v>2024</v>
      </c>
      <c r="C104">
        <v>4</v>
      </c>
      <c r="D104" t="s">
        <v>160</v>
      </c>
      <c r="E104">
        <v>2</v>
      </c>
    </row>
    <row r="105" spans="1:5">
      <c r="A105" s="4">
        <v>45395</v>
      </c>
      <c r="B105">
        <v>2024</v>
      </c>
      <c r="C105">
        <v>4</v>
      </c>
      <c r="D105" t="s">
        <v>160</v>
      </c>
      <c r="E105">
        <v>2</v>
      </c>
    </row>
    <row r="106" spans="1:5">
      <c r="A106" s="4">
        <v>45396</v>
      </c>
      <c r="B106">
        <v>2024</v>
      </c>
      <c r="C106">
        <v>4</v>
      </c>
      <c r="D106" t="s">
        <v>160</v>
      </c>
      <c r="E106">
        <v>2</v>
      </c>
    </row>
    <row r="107" spans="1:5">
      <c r="A107" s="4">
        <v>45397</v>
      </c>
      <c r="B107">
        <v>2024</v>
      </c>
      <c r="C107">
        <v>4</v>
      </c>
      <c r="D107" t="s">
        <v>160</v>
      </c>
      <c r="E107">
        <v>2</v>
      </c>
    </row>
    <row r="108" spans="1:5">
      <c r="A108" s="4">
        <v>45398</v>
      </c>
      <c r="B108">
        <v>2024</v>
      </c>
      <c r="C108">
        <v>4</v>
      </c>
      <c r="D108" t="s">
        <v>160</v>
      </c>
      <c r="E108">
        <v>2</v>
      </c>
    </row>
    <row r="109" spans="1:5">
      <c r="A109" s="4">
        <v>45399</v>
      </c>
      <c r="B109">
        <v>2024</v>
      </c>
      <c r="C109">
        <v>4</v>
      </c>
      <c r="D109" t="s">
        <v>160</v>
      </c>
      <c r="E109">
        <v>2</v>
      </c>
    </row>
    <row r="110" spans="1:5">
      <c r="A110" s="4">
        <v>45400</v>
      </c>
      <c r="B110">
        <v>2024</v>
      </c>
      <c r="C110">
        <v>4</v>
      </c>
      <c r="D110" t="s">
        <v>160</v>
      </c>
      <c r="E110">
        <v>2</v>
      </c>
    </row>
    <row r="111" spans="1:5">
      <c r="A111" s="4">
        <v>45401</v>
      </c>
      <c r="B111">
        <v>2024</v>
      </c>
      <c r="C111">
        <v>4</v>
      </c>
      <c r="D111" t="s">
        <v>160</v>
      </c>
      <c r="E111">
        <v>2</v>
      </c>
    </row>
    <row r="112" spans="1:5">
      <c r="A112" s="4">
        <v>45402</v>
      </c>
      <c r="B112">
        <v>2024</v>
      </c>
      <c r="C112">
        <v>4</v>
      </c>
      <c r="D112" t="s">
        <v>160</v>
      </c>
      <c r="E112">
        <v>2</v>
      </c>
    </row>
    <row r="113" spans="1:5">
      <c r="A113" s="4">
        <v>45403</v>
      </c>
      <c r="B113">
        <v>2024</v>
      </c>
      <c r="C113">
        <v>4</v>
      </c>
      <c r="D113" t="s">
        <v>160</v>
      </c>
      <c r="E113">
        <v>2</v>
      </c>
    </row>
    <row r="114" spans="1:5">
      <c r="A114" s="4">
        <v>45404</v>
      </c>
      <c r="B114">
        <v>2024</v>
      </c>
      <c r="C114">
        <v>4</v>
      </c>
      <c r="D114" t="s">
        <v>160</v>
      </c>
      <c r="E114">
        <v>2</v>
      </c>
    </row>
    <row r="115" spans="1:5">
      <c r="A115" s="4">
        <v>45405</v>
      </c>
      <c r="B115">
        <v>2024</v>
      </c>
      <c r="C115">
        <v>4</v>
      </c>
      <c r="D115" t="s">
        <v>160</v>
      </c>
      <c r="E115">
        <v>2</v>
      </c>
    </row>
    <row r="116" spans="1:5">
      <c r="A116" s="4">
        <v>45406</v>
      </c>
      <c r="B116">
        <v>2024</v>
      </c>
      <c r="C116">
        <v>4</v>
      </c>
      <c r="D116" t="s">
        <v>160</v>
      </c>
      <c r="E116">
        <v>2</v>
      </c>
    </row>
    <row r="117" spans="1:5">
      <c r="A117" s="4">
        <v>45407</v>
      </c>
      <c r="B117">
        <v>2024</v>
      </c>
      <c r="C117">
        <v>4</v>
      </c>
      <c r="D117" t="s">
        <v>160</v>
      </c>
      <c r="E117">
        <v>2</v>
      </c>
    </row>
    <row r="118" spans="1:5">
      <c r="A118" s="4">
        <v>45408</v>
      </c>
      <c r="B118">
        <v>2024</v>
      </c>
      <c r="C118">
        <v>4</v>
      </c>
      <c r="D118" t="s">
        <v>160</v>
      </c>
      <c r="E118">
        <v>2</v>
      </c>
    </row>
    <row r="119" spans="1:5">
      <c r="A119" s="4">
        <v>45409</v>
      </c>
      <c r="B119">
        <v>2024</v>
      </c>
      <c r="C119">
        <v>4</v>
      </c>
      <c r="D119" t="s">
        <v>160</v>
      </c>
      <c r="E119">
        <v>2</v>
      </c>
    </row>
    <row r="120" spans="1:5">
      <c r="A120" s="4">
        <v>45410</v>
      </c>
      <c r="B120">
        <v>2024</v>
      </c>
      <c r="C120">
        <v>4</v>
      </c>
      <c r="D120" t="s">
        <v>160</v>
      </c>
      <c r="E120">
        <v>2</v>
      </c>
    </row>
    <row r="121" spans="1:5">
      <c r="A121" s="4">
        <v>45411</v>
      </c>
      <c r="B121">
        <v>2024</v>
      </c>
      <c r="C121">
        <v>4</v>
      </c>
      <c r="D121" t="s">
        <v>160</v>
      </c>
      <c r="E121">
        <v>2</v>
      </c>
    </row>
    <row r="122" spans="1:5">
      <c r="A122" s="4">
        <v>45412</v>
      </c>
      <c r="B122">
        <v>2024</v>
      </c>
      <c r="C122">
        <v>4</v>
      </c>
      <c r="D122" t="s">
        <v>160</v>
      </c>
      <c r="E122">
        <v>2</v>
      </c>
    </row>
    <row r="123" spans="1:5">
      <c r="A123" s="4">
        <v>45413</v>
      </c>
      <c r="B123">
        <v>2024</v>
      </c>
      <c r="C123">
        <v>5</v>
      </c>
      <c r="D123" t="s">
        <v>161</v>
      </c>
      <c r="E123">
        <v>2</v>
      </c>
    </row>
    <row r="124" spans="1:5">
      <c r="A124" s="4">
        <v>45414</v>
      </c>
      <c r="B124">
        <v>2024</v>
      </c>
      <c r="C124">
        <v>5</v>
      </c>
      <c r="D124" t="s">
        <v>161</v>
      </c>
      <c r="E124">
        <v>2</v>
      </c>
    </row>
    <row r="125" spans="1:5">
      <c r="A125" s="4">
        <v>45415</v>
      </c>
      <c r="B125">
        <v>2024</v>
      </c>
      <c r="C125">
        <v>5</v>
      </c>
      <c r="D125" t="s">
        <v>161</v>
      </c>
      <c r="E125">
        <v>2</v>
      </c>
    </row>
    <row r="126" spans="1:5">
      <c r="A126" s="4">
        <v>45416</v>
      </c>
      <c r="B126">
        <v>2024</v>
      </c>
      <c r="C126">
        <v>5</v>
      </c>
      <c r="D126" t="s">
        <v>161</v>
      </c>
      <c r="E126">
        <v>2</v>
      </c>
    </row>
    <row r="127" spans="1:5">
      <c r="A127" s="4">
        <v>45417</v>
      </c>
      <c r="B127">
        <v>2024</v>
      </c>
      <c r="C127">
        <v>5</v>
      </c>
      <c r="D127" t="s">
        <v>161</v>
      </c>
      <c r="E127">
        <v>2</v>
      </c>
    </row>
    <row r="128" spans="1:5">
      <c r="A128" s="4">
        <v>45418</v>
      </c>
      <c r="B128">
        <v>2024</v>
      </c>
      <c r="C128">
        <v>5</v>
      </c>
      <c r="D128" t="s">
        <v>161</v>
      </c>
      <c r="E128">
        <v>2</v>
      </c>
    </row>
    <row r="129" spans="1:5">
      <c r="A129" s="4">
        <v>45419</v>
      </c>
      <c r="B129">
        <v>2024</v>
      </c>
      <c r="C129">
        <v>5</v>
      </c>
      <c r="D129" t="s">
        <v>161</v>
      </c>
      <c r="E129">
        <v>2</v>
      </c>
    </row>
    <row r="130" spans="1:5">
      <c r="A130" s="4">
        <v>45420</v>
      </c>
      <c r="B130">
        <v>2024</v>
      </c>
      <c r="C130">
        <v>5</v>
      </c>
      <c r="D130" t="s">
        <v>161</v>
      </c>
      <c r="E130">
        <v>2</v>
      </c>
    </row>
    <row r="131" spans="1:5">
      <c r="A131" s="4">
        <v>45421</v>
      </c>
      <c r="B131">
        <v>2024</v>
      </c>
      <c r="C131">
        <v>5</v>
      </c>
      <c r="D131" t="s">
        <v>161</v>
      </c>
      <c r="E131">
        <v>2</v>
      </c>
    </row>
    <row r="132" spans="1:5">
      <c r="A132" s="4">
        <v>45422</v>
      </c>
      <c r="B132">
        <v>2024</v>
      </c>
      <c r="C132">
        <v>5</v>
      </c>
      <c r="D132" t="s">
        <v>161</v>
      </c>
      <c r="E132">
        <v>2</v>
      </c>
    </row>
    <row r="133" spans="1:5">
      <c r="A133" s="4">
        <v>45423</v>
      </c>
      <c r="B133">
        <v>2024</v>
      </c>
      <c r="C133">
        <v>5</v>
      </c>
      <c r="D133" t="s">
        <v>161</v>
      </c>
      <c r="E133">
        <v>2</v>
      </c>
    </row>
    <row r="134" spans="1:5">
      <c r="A134" s="4">
        <v>45424</v>
      </c>
      <c r="B134">
        <v>2024</v>
      </c>
      <c r="C134">
        <v>5</v>
      </c>
      <c r="D134" t="s">
        <v>161</v>
      </c>
      <c r="E134">
        <v>2</v>
      </c>
    </row>
    <row r="135" spans="1:5">
      <c r="A135" s="4">
        <v>45425</v>
      </c>
      <c r="B135">
        <v>2024</v>
      </c>
      <c r="C135">
        <v>5</v>
      </c>
      <c r="D135" t="s">
        <v>161</v>
      </c>
      <c r="E135">
        <v>2</v>
      </c>
    </row>
    <row r="136" spans="1:5">
      <c r="A136" s="4">
        <v>45426</v>
      </c>
      <c r="B136">
        <v>2024</v>
      </c>
      <c r="C136">
        <v>5</v>
      </c>
      <c r="D136" t="s">
        <v>161</v>
      </c>
      <c r="E136">
        <v>2</v>
      </c>
    </row>
    <row r="137" spans="1:5">
      <c r="A137" s="4">
        <v>45427</v>
      </c>
      <c r="B137">
        <v>2024</v>
      </c>
      <c r="C137">
        <v>5</v>
      </c>
      <c r="D137" t="s">
        <v>161</v>
      </c>
      <c r="E137">
        <v>2</v>
      </c>
    </row>
    <row r="138" spans="1:5">
      <c r="A138" s="4">
        <v>45428</v>
      </c>
      <c r="B138">
        <v>2024</v>
      </c>
      <c r="C138">
        <v>5</v>
      </c>
      <c r="D138" t="s">
        <v>161</v>
      </c>
      <c r="E138">
        <v>2</v>
      </c>
    </row>
    <row r="139" spans="1:5">
      <c r="A139" s="4">
        <v>45429</v>
      </c>
      <c r="B139">
        <v>2024</v>
      </c>
      <c r="C139">
        <v>5</v>
      </c>
      <c r="D139" t="s">
        <v>161</v>
      </c>
      <c r="E139">
        <v>2</v>
      </c>
    </row>
    <row r="140" spans="1:5">
      <c r="A140" s="4">
        <v>45430</v>
      </c>
      <c r="B140">
        <v>2024</v>
      </c>
      <c r="C140">
        <v>5</v>
      </c>
      <c r="D140" t="s">
        <v>161</v>
      </c>
      <c r="E140">
        <v>2</v>
      </c>
    </row>
    <row r="141" spans="1:5">
      <c r="A141" s="4">
        <v>45431</v>
      </c>
      <c r="B141">
        <v>2024</v>
      </c>
      <c r="C141">
        <v>5</v>
      </c>
      <c r="D141" t="s">
        <v>161</v>
      </c>
      <c r="E141">
        <v>2</v>
      </c>
    </row>
    <row r="142" spans="1:5">
      <c r="A142" s="4">
        <v>45432</v>
      </c>
      <c r="B142">
        <v>2024</v>
      </c>
      <c r="C142">
        <v>5</v>
      </c>
      <c r="D142" t="s">
        <v>161</v>
      </c>
      <c r="E142">
        <v>2</v>
      </c>
    </row>
    <row r="143" spans="1:5">
      <c r="A143" s="4">
        <v>45433</v>
      </c>
      <c r="B143">
        <v>2024</v>
      </c>
      <c r="C143">
        <v>5</v>
      </c>
      <c r="D143" t="s">
        <v>161</v>
      </c>
      <c r="E143">
        <v>2</v>
      </c>
    </row>
    <row r="144" spans="1:5">
      <c r="A144" s="4">
        <v>45434</v>
      </c>
      <c r="B144">
        <v>2024</v>
      </c>
      <c r="C144">
        <v>5</v>
      </c>
      <c r="D144" t="s">
        <v>161</v>
      </c>
      <c r="E144">
        <v>2</v>
      </c>
    </row>
    <row r="145" spans="1:5">
      <c r="A145" s="4">
        <v>45435</v>
      </c>
      <c r="B145">
        <v>2024</v>
      </c>
      <c r="C145">
        <v>5</v>
      </c>
      <c r="D145" t="s">
        <v>161</v>
      </c>
      <c r="E145">
        <v>2</v>
      </c>
    </row>
    <row r="146" spans="1:5">
      <c r="A146" s="4">
        <v>45436</v>
      </c>
      <c r="B146">
        <v>2024</v>
      </c>
      <c r="C146">
        <v>5</v>
      </c>
      <c r="D146" t="s">
        <v>161</v>
      </c>
      <c r="E146">
        <v>2</v>
      </c>
    </row>
    <row r="147" spans="1:5">
      <c r="A147" s="4">
        <v>45437</v>
      </c>
      <c r="B147">
        <v>2024</v>
      </c>
      <c r="C147">
        <v>5</v>
      </c>
      <c r="D147" t="s">
        <v>161</v>
      </c>
      <c r="E147">
        <v>2</v>
      </c>
    </row>
    <row r="148" spans="1:5">
      <c r="A148" s="4">
        <v>45438</v>
      </c>
      <c r="B148">
        <v>2024</v>
      </c>
      <c r="C148">
        <v>5</v>
      </c>
      <c r="D148" t="s">
        <v>161</v>
      </c>
      <c r="E148">
        <v>2</v>
      </c>
    </row>
    <row r="149" spans="1:5">
      <c r="A149" s="4">
        <v>45439</v>
      </c>
      <c r="B149">
        <v>2024</v>
      </c>
      <c r="C149">
        <v>5</v>
      </c>
      <c r="D149" t="s">
        <v>161</v>
      </c>
      <c r="E149">
        <v>2</v>
      </c>
    </row>
    <row r="150" spans="1:5">
      <c r="A150" s="4">
        <v>45440</v>
      </c>
      <c r="B150">
        <v>2024</v>
      </c>
      <c r="C150">
        <v>5</v>
      </c>
      <c r="D150" t="s">
        <v>161</v>
      </c>
      <c r="E150">
        <v>2</v>
      </c>
    </row>
    <row r="151" spans="1:5">
      <c r="A151" s="4">
        <v>45441</v>
      </c>
      <c r="B151">
        <v>2024</v>
      </c>
      <c r="C151">
        <v>5</v>
      </c>
      <c r="D151" t="s">
        <v>161</v>
      </c>
      <c r="E151">
        <v>2</v>
      </c>
    </row>
    <row r="152" spans="1:5">
      <c r="A152" s="4">
        <v>45442</v>
      </c>
      <c r="B152">
        <v>2024</v>
      </c>
      <c r="C152">
        <v>5</v>
      </c>
      <c r="D152" t="s">
        <v>161</v>
      </c>
      <c r="E152">
        <v>2</v>
      </c>
    </row>
    <row r="153" spans="1:5">
      <c r="A153" s="4">
        <v>45443</v>
      </c>
      <c r="B153">
        <v>2024</v>
      </c>
      <c r="C153">
        <v>5</v>
      </c>
      <c r="D153" t="s">
        <v>161</v>
      </c>
      <c r="E153">
        <v>2</v>
      </c>
    </row>
    <row r="154" spans="1:5">
      <c r="A154" s="4">
        <v>45444</v>
      </c>
      <c r="B154">
        <v>2024</v>
      </c>
      <c r="C154">
        <v>6</v>
      </c>
      <c r="D154" t="s">
        <v>162</v>
      </c>
      <c r="E154">
        <v>2</v>
      </c>
    </row>
    <row r="155" spans="1:5">
      <c r="A155" s="4">
        <v>45445</v>
      </c>
      <c r="B155">
        <v>2024</v>
      </c>
      <c r="C155">
        <v>6</v>
      </c>
      <c r="D155" t="s">
        <v>162</v>
      </c>
      <c r="E155">
        <v>2</v>
      </c>
    </row>
    <row r="156" spans="1:5">
      <c r="A156" s="4">
        <v>45446</v>
      </c>
      <c r="B156">
        <v>2024</v>
      </c>
      <c r="C156">
        <v>6</v>
      </c>
      <c r="D156" t="s">
        <v>162</v>
      </c>
      <c r="E156">
        <v>2</v>
      </c>
    </row>
    <row r="157" spans="1:5">
      <c r="A157" s="4">
        <v>45447</v>
      </c>
      <c r="B157">
        <v>2024</v>
      </c>
      <c r="C157">
        <v>6</v>
      </c>
      <c r="D157" t="s">
        <v>162</v>
      </c>
      <c r="E157">
        <v>2</v>
      </c>
    </row>
    <row r="158" spans="1:5">
      <c r="A158" s="4">
        <v>45448</v>
      </c>
      <c r="B158">
        <v>2024</v>
      </c>
      <c r="C158">
        <v>6</v>
      </c>
      <c r="D158" t="s">
        <v>162</v>
      </c>
      <c r="E158">
        <v>2</v>
      </c>
    </row>
    <row r="159" spans="1:5">
      <c r="A159" s="4">
        <v>45449</v>
      </c>
      <c r="B159">
        <v>2024</v>
      </c>
      <c r="C159">
        <v>6</v>
      </c>
      <c r="D159" t="s">
        <v>162</v>
      </c>
      <c r="E159">
        <v>2</v>
      </c>
    </row>
    <row r="160" spans="1:5">
      <c r="A160" s="4">
        <v>45450</v>
      </c>
      <c r="B160">
        <v>2024</v>
      </c>
      <c r="C160">
        <v>6</v>
      </c>
      <c r="D160" t="s">
        <v>162</v>
      </c>
      <c r="E160">
        <v>2</v>
      </c>
    </row>
    <row r="161" spans="1:5">
      <c r="A161" s="4">
        <v>45451</v>
      </c>
      <c r="B161">
        <v>2024</v>
      </c>
      <c r="C161">
        <v>6</v>
      </c>
      <c r="D161" t="s">
        <v>162</v>
      </c>
      <c r="E161">
        <v>2</v>
      </c>
    </row>
    <row r="162" spans="1:5">
      <c r="A162" s="4">
        <v>45452</v>
      </c>
      <c r="B162">
        <v>2024</v>
      </c>
      <c r="C162">
        <v>6</v>
      </c>
      <c r="D162" t="s">
        <v>162</v>
      </c>
      <c r="E162">
        <v>2</v>
      </c>
    </row>
    <row r="163" spans="1:5">
      <c r="A163" s="4">
        <v>45453</v>
      </c>
      <c r="B163">
        <v>2024</v>
      </c>
      <c r="C163">
        <v>6</v>
      </c>
      <c r="D163" t="s">
        <v>162</v>
      </c>
      <c r="E163">
        <v>2</v>
      </c>
    </row>
    <row r="164" spans="1:5">
      <c r="A164" s="4">
        <v>45454</v>
      </c>
      <c r="B164">
        <v>2024</v>
      </c>
      <c r="C164">
        <v>6</v>
      </c>
      <c r="D164" t="s">
        <v>162</v>
      </c>
      <c r="E164">
        <v>2</v>
      </c>
    </row>
    <row r="165" spans="1:5">
      <c r="A165" s="4">
        <v>45455</v>
      </c>
      <c r="B165">
        <v>2024</v>
      </c>
      <c r="C165">
        <v>6</v>
      </c>
      <c r="D165" t="s">
        <v>162</v>
      </c>
      <c r="E165">
        <v>2</v>
      </c>
    </row>
    <row r="166" spans="1:5">
      <c r="A166" s="4">
        <v>45456</v>
      </c>
      <c r="B166">
        <v>2024</v>
      </c>
      <c r="C166">
        <v>6</v>
      </c>
      <c r="D166" t="s">
        <v>162</v>
      </c>
      <c r="E166">
        <v>2</v>
      </c>
    </row>
    <row r="167" spans="1:5">
      <c r="A167" s="4">
        <v>45457</v>
      </c>
      <c r="B167">
        <v>2024</v>
      </c>
      <c r="C167">
        <v>6</v>
      </c>
      <c r="D167" t="s">
        <v>162</v>
      </c>
      <c r="E167">
        <v>2</v>
      </c>
    </row>
    <row r="168" spans="1:5">
      <c r="A168" s="4">
        <v>45458</v>
      </c>
      <c r="B168">
        <v>2024</v>
      </c>
      <c r="C168">
        <v>6</v>
      </c>
      <c r="D168" t="s">
        <v>162</v>
      </c>
      <c r="E168">
        <v>2</v>
      </c>
    </row>
    <row r="169" spans="1:5">
      <c r="A169" s="4">
        <v>45459</v>
      </c>
      <c r="B169">
        <v>2024</v>
      </c>
      <c r="C169">
        <v>6</v>
      </c>
      <c r="D169" t="s">
        <v>162</v>
      </c>
      <c r="E169">
        <v>2</v>
      </c>
    </row>
    <row r="170" spans="1:5">
      <c r="A170" s="4">
        <v>45460</v>
      </c>
      <c r="B170">
        <v>2024</v>
      </c>
      <c r="C170">
        <v>6</v>
      </c>
      <c r="D170" t="s">
        <v>162</v>
      </c>
      <c r="E170">
        <v>2</v>
      </c>
    </row>
    <row r="171" spans="1:5">
      <c r="A171" s="4">
        <v>45461</v>
      </c>
      <c r="B171">
        <v>2024</v>
      </c>
      <c r="C171">
        <v>6</v>
      </c>
      <c r="D171" t="s">
        <v>162</v>
      </c>
      <c r="E171">
        <v>2</v>
      </c>
    </row>
    <row r="172" spans="1:5">
      <c r="A172" s="4">
        <v>45462</v>
      </c>
      <c r="B172">
        <v>2024</v>
      </c>
      <c r="C172">
        <v>6</v>
      </c>
      <c r="D172" t="s">
        <v>162</v>
      </c>
      <c r="E172">
        <v>2</v>
      </c>
    </row>
    <row r="173" spans="1:5">
      <c r="A173" s="4">
        <v>45463</v>
      </c>
      <c r="B173">
        <v>2024</v>
      </c>
      <c r="C173">
        <v>6</v>
      </c>
      <c r="D173" t="s">
        <v>162</v>
      </c>
      <c r="E173">
        <v>2</v>
      </c>
    </row>
    <row r="174" spans="1:5">
      <c r="A174" s="4">
        <v>45464</v>
      </c>
      <c r="B174">
        <v>2024</v>
      </c>
      <c r="C174">
        <v>6</v>
      </c>
      <c r="D174" t="s">
        <v>162</v>
      </c>
      <c r="E174">
        <v>2</v>
      </c>
    </row>
    <row r="175" spans="1:5">
      <c r="A175" s="4">
        <v>45465</v>
      </c>
      <c r="B175">
        <v>2024</v>
      </c>
      <c r="C175">
        <v>6</v>
      </c>
      <c r="D175" t="s">
        <v>162</v>
      </c>
      <c r="E175">
        <v>2</v>
      </c>
    </row>
    <row r="176" spans="1:5">
      <c r="A176" s="4">
        <v>45466</v>
      </c>
      <c r="B176">
        <v>2024</v>
      </c>
      <c r="C176">
        <v>6</v>
      </c>
      <c r="D176" t="s">
        <v>162</v>
      </c>
      <c r="E176">
        <v>2</v>
      </c>
    </row>
    <row r="177" spans="1:5">
      <c r="A177" s="4">
        <v>45467</v>
      </c>
      <c r="B177">
        <v>2024</v>
      </c>
      <c r="C177">
        <v>6</v>
      </c>
      <c r="D177" t="s">
        <v>162</v>
      </c>
      <c r="E177">
        <v>2</v>
      </c>
    </row>
    <row r="178" spans="1:5">
      <c r="A178" s="4">
        <v>45468</v>
      </c>
      <c r="B178">
        <v>2024</v>
      </c>
      <c r="C178">
        <v>6</v>
      </c>
      <c r="D178" t="s">
        <v>162</v>
      </c>
      <c r="E178">
        <v>2</v>
      </c>
    </row>
    <row r="179" spans="1:5">
      <c r="A179" s="4">
        <v>45469</v>
      </c>
      <c r="B179">
        <v>2024</v>
      </c>
      <c r="C179">
        <v>6</v>
      </c>
      <c r="D179" t="s">
        <v>162</v>
      </c>
      <c r="E179">
        <v>2</v>
      </c>
    </row>
    <row r="180" spans="1:5">
      <c r="A180" s="4">
        <v>45470</v>
      </c>
      <c r="B180">
        <v>2024</v>
      </c>
      <c r="C180">
        <v>6</v>
      </c>
      <c r="D180" t="s">
        <v>162</v>
      </c>
      <c r="E180">
        <v>2</v>
      </c>
    </row>
    <row r="181" spans="1:5">
      <c r="A181" s="4">
        <v>45471</v>
      </c>
      <c r="B181">
        <v>2024</v>
      </c>
      <c r="C181">
        <v>6</v>
      </c>
      <c r="D181" t="s">
        <v>162</v>
      </c>
      <c r="E181">
        <v>2</v>
      </c>
    </row>
    <row r="182" spans="1:5">
      <c r="A182" s="4">
        <v>45472</v>
      </c>
      <c r="B182">
        <v>2024</v>
      </c>
      <c r="C182">
        <v>6</v>
      </c>
      <c r="D182" t="s">
        <v>162</v>
      </c>
      <c r="E182">
        <v>2</v>
      </c>
    </row>
    <row r="183" spans="1:5">
      <c r="A183" s="4">
        <v>45473</v>
      </c>
      <c r="B183">
        <v>2024</v>
      </c>
      <c r="C183">
        <v>6</v>
      </c>
      <c r="D183" t="s">
        <v>162</v>
      </c>
      <c r="E183">
        <v>2</v>
      </c>
    </row>
    <row r="184" spans="1:5">
      <c r="A184" s="4">
        <v>45474</v>
      </c>
      <c r="B184">
        <v>2024</v>
      </c>
      <c r="C184">
        <v>7</v>
      </c>
      <c r="D184" t="s">
        <v>163</v>
      </c>
      <c r="E184">
        <v>3</v>
      </c>
    </row>
    <row r="185" spans="1:5">
      <c r="A185" s="4">
        <v>45475</v>
      </c>
      <c r="B185">
        <v>2024</v>
      </c>
      <c r="C185">
        <v>7</v>
      </c>
      <c r="D185" t="s">
        <v>163</v>
      </c>
      <c r="E185">
        <v>3</v>
      </c>
    </row>
    <row r="186" spans="1:5">
      <c r="A186" s="4">
        <v>45476</v>
      </c>
      <c r="B186">
        <v>2024</v>
      </c>
      <c r="C186">
        <v>7</v>
      </c>
      <c r="D186" t="s">
        <v>163</v>
      </c>
      <c r="E186">
        <v>3</v>
      </c>
    </row>
    <row r="187" spans="1:5">
      <c r="A187" s="4">
        <v>45477</v>
      </c>
      <c r="B187">
        <v>2024</v>
      </c>
      <c r="C187">
        <v>7</v>
      </c>
      <c r="D187" t="s">
        <v>163</v>
      </c>
      <c r="E187">
        <v>3</v>
      </c>
    </row>
    <row r="188" spans="1:5">
      <c r="A188" s="4">
        <v>45478</v>
      </c>
      <c r="B188">
        <v>2024</v>
      </c>
      <c r="C188">
        <v>7</v>
      </c>
      <c r="D188" t="s">
        <v>163</v>
      </c>
      <c r="E188">
        <v>3</v>
      </c>
    </row>
    <row r="189" spans="1:5">
      <c r="A189" s="4">
        <v>45479</v>
      </c>
      <c r="B189">
        <v>2024</v>
      </c>
      <c r="C189">
        <v>7</v>
      </c>
      <c r="D189" t="s">
        <v>163</v>
      </c>
      <c r="E189">
        <v>3</v>
      </c>
    </row>
    <row r="190" spans="1:5">
      <c r="A190" s="4">
        <v>45480</v>
      </c>
      <c r="B190">
        <v>2024</v>
      </c>
      <c r="C190">
        <v>7</v>
      </c>
      <c r="D190" t="s">
        <v>163</v>
      </c>
      <c r="E190">
        <v>3</v>
      </c>
    </row>
    <row r="191" spans="1:5">
      <c r="A191" s="4">
        <v>45481</v>
      </c>
      <c r="B191">
        <v>2024</v>
      </c>
      <c r="C191">
        <v>7</v>
      </c>
      <c r="D191" t="s">
        <v>163</v>
      </c>
      <c r="E191">
        <v>3</v>
      </c>
    </row>
    <row r="192" spans="1:5">
      <c r="A192" s="4">
        <v>45482</v>
      </c>
      <c r="B192">
        <v>2024</v>
      </c>
      <c r="C192">
        <v>7</v>
      </c>
      <c r="D192" t="s">
        <v>163</v>
      </c>
      <c r="E192">
        <v>3</v>
      </c>
    </row>
    <row r="193" spans="1:5">
      <c r="A193" s="4">
        <v>45483</v>
      </c>
      <c r="B193">
        <v>2024</v>
      </c>
      <c r="C193">
        <v>7</v>
      </c>
      <c r="D193" t="s">
        <v>163</v>
      </c>
      <c r="E193">
        <v>3</v>
      </c>
    </row>
    <row r="194" spans="1:5">
      <c r="A194" s="4">
        <v>45484</v>
      </c>
      <c r="B194">
        <v>2024</v>
      </c>
      <c r="C194">
        <v>7</v>
      </c>
      <c r="D194" t="s">
        <v>163</v>
      </c>
      <c r="E194">
        <v>3</v>
      </c>
    </row>
    <row r="195" spans="1:5">
      <c r="A195" s="4">
        <v>45485</v>
      </c>
      <c r="B195">
        <v>2024</v>
      </c>
      <c r="C195">
        <v>7</v>
      </c>
      <c r="D195" t="s">
        <v>163</v>
      </c>
      <c r="E195">
        <v>3</v>
      </c>
    </row>
    <row r="196" spans="1:5">
      <c r="A196" s="4">
        <v>45486</v>
      </c>
      <c r="B196">
        <v>2024</v>
      </c>
      <c r="C196">
        <v>7</v>
      </c>
      <c r="D196" t="s">
        <v>163</v>
      </c>
      <c r="E196">
        <v>3</v>
      </c>
    </row>
    <row r="197" spans="1:5">
      <c r="A197" s="4">
        <v>45487</v>
      </c>
      <c r="B197">
        <v>2024</v>
      </c>
      <c r="C197">
        <v>7</v>
      </c>
      <c r="D197" t="s">
        <v>163</v>
      </c>
      <c r="E197">
        <v>3</v>
      </c>
    </row>
    <row r="198" spans="1:5">
      <c r="A198" s="4">
        <v>45488</v>
      </c>
      <c r="B198">
        <v>2024</v>
      </c>
      <c r="C198">
        <v>7</v>
      </c>
      <c r="D198" t="s">
        <v>163</v>
      </c>
      <c r="E198">
        <v>3</v>
      </c>
    </row>
    <row r="199" spans="1:5">
      <c r="A199" s="4">
        <v>45489</v>
      </c>
      <c r="B199">
        <v>2024</v>
      </c>
      <c r="C199">
        <v>7</v>
      </c>
      <c r="D199" t="s">
        <v>163</v>
      </c>
      <c r="E199">
        <v>3</v>
      </c>
    </row>
    <row r="200" spans="1:5">
      <c r="A200" s="4">
        <v>45490</v>
      </c>
      <c r="B200">
        <v>2024</v>
      </c>
      <c r="C200">
        <v>7</v>
      </c>
      <c r="D200" t="s">
        <v>163</v>
      </c>
      <c r="E200">
        <v>3</v>
      </c>
    </row>
    <row r="201" spans="1:5">
      <c r="A201" s="4">
        <v>45491</v>
      </c>
      <c r="B201">
        <v>2024</v>
      </c>
      <c r="C201">
        <v>7</v>
      </c>
      <c r="D201" t="s">
        <v>163</v>
      </c>
      <c r="E201">
        <v>3</v>
      </c>
    </row>
    <row r="202" spans="1:5">
      <c r="A202" s="4">
        <v>45492</v>
      </c>
      <c r="B202">
        <v>2024</v>
      </c>
      <c r="C202">
        <v>7</v>
      </c>
      <c r="D202" t="s">
        <v>163</v>
      </c>
      <c r="E202">
        <v>3</v>
      </c>
    </row>
    <row r="203" spans="1:5">
      <c r="A203" s="4">
        <v>45493</v>
      </c>
      <c r="B203">
        <v>2024</v>
      </c>
      <c r="C203">
        <v>7</v>
      </c>
      <c r="D203" t="s">
        <v>163</v>
      </c>
      <c r="E203">
        <v>3</v>
      </c>
    </row>
    <row r="204" spans="1:5">
      <c r="A204" s="4">
        <v>45494</v>
      </c>
      <c r="B204">
        <v>2024</v>
      </c>
      <c r="C204">
        <v>7</v>
      </c>
      <c r="D204" t="s">
        <v>163</v>
      </c>
      <c r="E204">
        <v>3</v>
      </c>
    </row>
    <row r="205" spans="1:5">
      <c r="A205" s="4">
        <v>45495</v>
      </c>
      <c r="B205">
        <v>2024</v>
      </c>
      <c r="C205">
        <v>7</v>
      </c>
      <c r="D205" t="s">
        <v>163</v>
      </c>
      <c r="E205">
        <v>3</v>
      </c>
    </row>
    <row r="206" spans="1:5">
      <c r="A206" s="4">
        <v>45496</v>
      </c>
      <c r="B206">
        <v>2024</v>
      </c>
      <c r="C206">
        <v>7</v>
      </c>
      <c r="D206" t="s">
        <v>163</v>
      </c>
      <c r="E206">
        <v>3</v>
      </c>
    </row>
    <row r="207" spans="1:5">
      <c r="A207" s="4">
        <v>45497</v>
      </c>
      <c r="B207">
        <v>2024</v>
      </c>
      <c r="C207">
        <v>7</v>
      </c>
      <c r="D207" t="s">
        <v>163</v>
      </c>
      <c r="E207">
        <v>3</v>
      </c>
    </row>
    <row r="208" spans="1:5">
      <c r="A208" s="4">
        <v>45498</v>
      </c>
      <c r="B208">
        <v>2024</v>
      </c>
      <c r="C208">
        <v>7</v>
      </c>
      <c r="D208" t="s">
        <v>163</v>
      </c>
      <c r="E208">
        <v>3</v>
      </c>
    </row>
    <row r="209" spans="1:5">
      <c r="A209" s="4">
        <v>45499</v>
      </c>
      <c r="B209">
        <v>2024</v>
      </c>
      <c r="C209">
        <v>7</v>
      </c>
      <c r="D209" t="s">
        <v>163</v>
      </c>
      <c r="E209">
        <v>3</v>
      </c>
    </row>
    <row r="210" spans="1:5">
      <c r="A210" s="4">
        <v>45500</v>
      </c>
      <c r="B210">
        <v>2024</v>
      </c>
      <c r="C210">
        <v>7</v>
      </c>
      <c r="D210" t="s">
        <v>163</v>
      </c>
      <c r="E210">
        <v>3</v>
      </c>
    </row>
    <row r="211" spans="1:5">
      <c r="A211" s="4">
        <v>45501</v>
      </c>
      <c r="B211">
        <v>2024</v>
      </c>
      <c r="C211">
        <v>7</v>
      </c>
      <c r="D211" t="s">
        <v>163</v>
      </c>
      <c r="E211">
        <v>3</v>
      </c>
    </row>
    <row r="212" spans="1:5">
      <c r="A212" s="4">
        <v>45502</v>
      </c>
      <c r="B212">
        <v>2024</v>
      </c>
      <c r="C212">
        <v>7</v>
      </c>
      <c r="D212" t="s">
        <v>163</v>
      </c>
      <c r="E212">
        <v>3</v>
      </c>
    </row>
    <row r="213" spans="1:5">
      <c r="A213" s="4">
        <v>45503</v>
      </c>
      <c r="B213">
        <v>2024</v>
      </c>
      <c r="C213">
        <v>7</v>
      </c>
      <c r="D213" t="s">
        <v>163</v>
      </c>
      <c r="E213">
        <v>3</v>
      </c>
    </row>
    <row r="214" spans="1:5">
      <c r="A214" s="4">
        <v>45504</v>
      </c>
      <c r="B214">
        <v>2024</v>
      </c>
      <c r="C214">
        <v>7</v>
      </c>
      <c r="D214" t="s">
        <v>163</v>
      </c>
      <c r="E214">
        <v>3</v>
      </c>
    </row>
    <row r="215" spans="1:5">
      <c r="A215" s="4">
        <v>45505</v>
      </c>
      <c r="B215">
        <v>2024</v>
      </c>
      <c r="C215">
        <v>8</v>
      </c>
      <c r="D215" t="s">
        <v>164</v>
      </c>
      <c r="E215">
        <v>3</v>
      </c>
    </row>
    <row r="216" spans="1:5">
      <c r="A216" s="4">
        <v>45506</v>
      </c>
      <c r="B216">
        <v>2024</v>
      </c>
      <c r="C216">
        <v>8</v>
      </c>
      <c r="D216" t="s">
        <v>164</v>
      </c>
      <c r="E216">
        <v>3</v>
      </c>
    </row>
    <row r="217" spans="1:5">
      <c r="A217" s="4">
        <v>45507</v>
      </c>
      <c r="B217">
        <v>2024</v>
      </c>
      <c r="C217">
        <v>8</v>
      </c>
      <c r="D217" t="s">
        <v>164</v>
      </c>
      <c r="E217">
        <v>3</v>
      </c>
    </row>
    <row r="218" spans="1:5">
      <c r="A218" s="4">
        <v>45508</v>
      </c>
      <c r="B218">
        <v>2024</v>
      </c>
      <c r="C218">
        <v>8</v>
      </c>
      <c r="D218" t="s">
        <v>164</v>
      </c>
      <c r="E218">
        <v>3</v>
      </c>
    </row>
    <row r="219" spans="1:5">
      <c r="A219" s="4">
        <v>45509</v>
      </c>
      <c r="B219">
        <v>2024</v>
      </c>
      <c r="C219">
        <v>8</v>
      </c>
      <c r="D219" t="s">
        <v>164</v>
      </c>
      <c r="E219">
        <v>3</v>
      </c>
    </row>
    <row r="220" spans="1:5">
      <c r="A220" s="4">
        <v>45510</v>
      </c>
      <c r="B220">
        <v>2024</v>
      </c>
      <c r="C220">
        <v>8</v>
      </c>
      <c r="D220" t="s">
        <v>164</v>
      </c>
      <c r="E220">
        <v>3</v>
      </c>
    </row>
    <row r="221" spans="1:5">
      <c r="A221" s="4">
        <v>45511</v>
      </c>
      <c r="B221">
        <v>2024</v>
      </c>
      <c r="C221">
        <v>8</v>
      </c>
      <c r="D221" t="s">
        <v>164</v>
      </c>
      <c r="E221">
        <v>3</v>
      </c>
    </row>
    <row r="222" spans="1:5">
      <c r="A222" s="4">
        <v>45512</v>
      </c>
      <c r="B222">
        <v>2024</v>
      </c>
      <c r="C222">
        <v>8</v>
      </c>
      <c r="D222" t="s">
        <v>164</v>
      </c>
      <c r="E222">
        <v>3</v>
      </c>
    </row>
    <row r="223" spans="1:5">
      <c r="A223" s="4">
        <v>45513</v>
      </c>
      <c r="B223">
        <v>2024</v>
      </c>
      <c r="C223">
        <v>8</v>
      </c>
      <c r="D223" t="s">
        <v>164</v>
      </c>
      <c r="E223">
        <v>3</v>
      </c>
    </row>
    <row r="224" spans="1:5">
      <c r="A224" s="4">
        <v>45514</v>
      </c>
      <c r="B224">
        <v>2024</v>
      </c>
      <c r="C224">
        <v>8</v>
      </c>
      <c r="D224" t="s">
        <v>164</v>
      </c>
      <c r="E224">
        <v>3</v>
      </c>
    </row>
    <row r="225" spans="1:5">
      <c r="A225" s="4">
        <v>45515</v>
      </c>
      <c r="B225">
        <v>2024</v>
      </c>
      <c r="C225">
        <v>8</v>
      </c>
      <c r="D225" t="s">
        <v>164</v>
      </c>
      <c r="E225">
        <v>3</v>
      </c>
    </row>
    <row r="226" spans="1:5">
      <c r="A226" s="4">
        <v>45516</v>
      </c>
      <c r="B226">
        <v>2024</v>
      </c>
      <c r="C226">
        <v>8</v>
      </c>
      <c r="D226" t="s">
        <v>164</v>
      </c>
      <c r="E226">
        <v>3</v>
      </c>
    </row>
    <row r="227" spans="1:5">
      <c r="A227" s="4">
        <v>45517</v>
      </c>
      <c r="B227">
        <v>2024</v>
      </c>
      <c r="C227">
        <v>8</v>
      </c>
      <c r="D227" t="s">
        <v>164</v>
      </c>
      <c r="E227">
        <v>3</v>
      </c>
    </row>
    <row r="228" spans="1:5">
      <c r="A228" s="4">
        <v>45518</v>
      </c>
      <c r="B228">
        <v>2024</v>
      </c>
      <c r="C228">
        <v>8</v>
      </c>
      <c r="D228" t="s">
        <v>164</v>
      </c>
      <c r="E228">
        <v>3</v>
      </c>
    </row>
    <row r="229" spans="1:5">
      <c r="A229" s="4">
        <v>45519</v>
      </c>
      <c r="B229">
        <v>2024</v>
      </c>
      <c r="C229">
        <v>8</v>
      </c>
      <c r="D229" t="s">
        <v>164</v>
      </c>
      <c r="E229">
        <v>3</v>
      </c>
    </row>
    <row r="230" spans="1:5">
      <c r="A230" s="4">
        <v>45520</v>
      </c>
      <c r="B230">
        <v>2024</v>
      </c>
      <c r="C230">
        <v>8</v>
      </c>
      <c r="D230" t="s">
        <v>164</v>
      </c>
      <c r="E230">
        <v>3</v>
      </c>
    </row>
    <row r="231" spans="1:5">
      <c r="A231" s="4">
        <v>45521</v>
      </c>
      <c r="B231">
        <v>2024</v>
      </c>
      <c r="C231">
        <v>8</v>
      </c>
      <c r="D231" t="s">
        <v>164</v>
      </c>
      <c r="E231">
        <v>3</v>
      </c>
    </row>
    <row r="232" spans="1:5">
      <c r="A232" s="4">
        <v>45522</v>
      </c>
      <c r="B232">
        <v>2024</v>
      </c>
      <c r="C232">
        <v>8</v>
      </c>
      <c r="D232" t="s">
        <v>164</v>
      </c>
      <c r="E232">
        <v>3</v>
      </c>
    </row>
    <row r="233" spans="1:5">
      <c r="A233" s="4">
        <v>45523</v>
      </c>
      <c r="B233">
        <v>2024</v>
      </c>
      <c r="C233">
        <v>8</v>
      </c>
      <c r="D233" t="s">
        <v>164</v>
      </c>
      <c r="E233">
        <v>3</v>
      </c>
    </row>
    <row r="234" spans="1:5">
      <c r="A234" s="4">
        <v>45524</v>
      </c>
      <c r="B234">
        <v>2024</v>
      </c>
      <c r="C234">
        <v>8</v>
      </c>
      <c r="D234" t="s">
        <v>164</v>
      </c>
      <c r="E234">
        <v>3</v>
      </c>
    </row>
    <row r="235" spans="1:5">
      <c r="A235" s="4">
        <v>45525</v>
      </c>
      <c r="B235">
        <v>2024</v>
      </c>
      <c r="C235">
        <v>8</v>
      </c>
      <c r="D235" t="s">
        <v>164</v>
      </c>
      <c r="E235">
        <v>3</v>
      </c>
    </row>
    <row r="236" spans="1:5">
      <c r="A236" s="4">
        <v>45526</v>
      </c>
      <c r="B236">
        <v>2024</v>
      </c>
      <c r="C236">
        <v>8</v>
      </c>
      <c r="D236" t="s">
        <v>164</v>
      </c>
      <c r="E236">
        <v>3</v>
      </c>
    </row>
    <row r="237" spans="1:5">
      <c r="A237" s="4">
        <v>45527</v>
      </c>
      <c r="B237">
        <v>2024</v>
      </c>
      <c r="C237">
        <v>8</v>
      </c>
      <c r="D237" t="s">
        <v>164</v>
      </c>
      <c r="E237">
        <v>3</v>
      </c>
    </row>
    <row r="238" spans="1:5">
      <c r="A238" s="4">
        <v>45528</v>
      </c>
      <c r="B238">
        <v>2024</v>
      </c>
      <c r="C238">
        <v>8</v>
      </c>
      <c r="D238" t="s">
        <v>164</v>
      </c>
      <c r="E238">
        <v>3</v>
      </c>
    </row>
    <row r="239" spans="1:5">
      <c r="A239" s="4">
        <v>45529</v>
      </c>
      <c r="B239">
        <v>2024</v>
      </c>
      <c r="C239">
        <v>8</v>
      </c>
      <c r="D239" t="s">
        <v>164</v>
      </c>
      <c r="E239">
        <v>3</v>
      </c>
    </row>
    <row r="240" spans="1:5">
      <c r="A240" s="4">
        <v>45530</v>
      </c>
      <c r="B240">
        <v>2024</v>
      </c>
      <c r="C240">
        <v>8</v>
      </c>
      <c r="D240" t="s">
        <v>164</v>
      </c>
      <c r="E240">
        <v>3</v>
      </c>
    </row>
    <row r="241" spans="1:5">
      <c r="A241" s="4">
        <v>45531</v>
      </c>
      <c r="B241">
        <v>2024</v>
      </c>
      <c r="C241">
        <v>8</v>
      </c>
      <c r="D241" t="s">
        <v>164</v>
      </c>
      <c r="E241">
        <v>3</v>
      </c>
    </row>
    <row r="242" spans="1:5">
      <c r="A242" s="4">
        <v>45532</v>
      </c>
      <c r="B242">
        <v>2024</v>
      </c>
      <c r="C242">
        <v>8</v>
      </c>
      <c r="D242" t="s">
        <v>164</v>
      </c>
      <c r="E242">
        <v>3</v>
      </c>
    </row>
    <row r="243" spans="1:5">
      <c r="A243" s="4">
        <v>45533</v>
      </c>
      <c r="B243">
        <v>2024</v>
      </c>
      <c r="C243">
        <v>8</v>
      </c>
      <c r="D243" t="s">
        <v>164</v>
      </c>
      <c r="E243">
        <v>3</v>
      </c>
    </row>
    <row r="244" spans="1:5">
      <c r="A244" s="4">
        <v>45534</v>
      </c>
      <c r="B244">
        <v>2024</v>
      </c>
      <c r="C244">
        <v>8</v>
      </c>
      <c r="D244" t="s">
        <v>164</v>
      </c>
      <c r="E244">
        <v>3</v>
      </c>
    </row>
    <row r="245" spans="1:5">
      <c r="A245" s="4">
        <v>45535</v>
      </c>
      <c r="B245">
        <v>2024</v>
      </c>
      <c r="C245">
        <v>8</v>
      </c>
      <c r="D245" t="s">
        <v>164</v>
      </c>
      <c r="E245">
        <v>3</v>
      </c>
    </row>
    <row r="246" spans="1:5">
      <c r="A246" s="4">
        <v>45536</v>
      </c>
      <c r="B246">
        <v>2024</v>
      </c>
      <c r="C246">
        <v>9</v>
      </c>
      <c r="D246" t="s">
        <v>165</v>
      </c>
      <c r="E246">
        <v>3</v>
      </c>
    </row>
    <row r="247" spans="1:5">
      <c r="A247" s="4">
        <v>45537</v>
      </c>
      <c r="B247">
        <v>2024</v>
      </c>
      <c r="C247">
        <v>9</v>
      </c>
      <c r="D247" t="s">
        <v>165</v>
      </c>
      <c r="E247">
        <v>3</v>
      </c>
    </row>
    <row r="248" spans="1:5">
      <c r="A248" s="4">
        <v>45538</v>
      </c>
      <c r="B248">
        <v>2024</v>
      </c>
      <c r="C248">
        <v>9</v>
      </c>
      <c r="D248" t="s">
        <v>165</v>
      </c>
      <c r="E248">
        <v>3</v>
      </c>
    </row>
    <row r="249" spans="1:5">
      <c r="A249" s="4">
        <v>45539</v>
      </c>
      <c r="B249">
        <v>2024</v>
      </c>
      <c r="C249">
        <v>9</v>
      </c>
      <c r="D249" t="s">
        <v>165</v>
      </c>
      <c r="E249">
        <v>3</v>
      </c>
    </row>
    <row r="250" spans="1:5">
      <c r="A250" s="4">
        <v>45540</v>
      </c>
      <c r="B250">
        <v>2024</v>
      </c>
      <c r="C250">
        <v>9</v>
      </c>
      <c r="D250" t="s">
        <v>165</v>
      </c>
      <c r="E250">
        <v>3</v>
      </c>
    </row>
    <row r="251" spans="1:5">
      <c r="A251" s="4">
        <v>45541</v>
      </c>
      <c r="B251">
        <v>2024</v>
      </c>
      <c r="C251">
        <v>9</v>
      </c>
      <c r="D251" t="s">
        <v>165</v>
      </c>
      <c r="E251">
        <v>3</v>
      </c>
    </row>
    <row r="252" spans="1:5">
      <c r="A252" s="4">
        <v>45542</v>
      </c>
      <c r="B252">
        <v>2024</v>
      </c>
      <c r="C252">
        <v>9</v>
      </c>
      <c r="D252" t="s">
        <v>165</v>
      </c>
      <c r="E252">
        <v>3</v>
      </c>
    </row>
    <row r="253" spans="1:5">
      <c r="A253" s="4">
        <v>45543</v>
      </c>
      <c r="B253">
        <v>2024</v>
      </c>
      <c r="C253">
        <v>9</v>
      </c>
      <c r="D253" t="s">
        <v>165</v>
      </c>
      <c r="E253">
        <v>3</v>
      </c>
    </row>
    <row r="254" spans="1:5">
      <c r="A254" s="4">
        <v>45544</v>
      </c>
      <c r="B254">
        <v>2024</v>
      </c>
      <c r="C254">
        <v>9</v>
      </c>
      <c r="D254" t="s">
        <v>165</v>
      </c>
      <c r="E254">
        <v>3</v>
      </c>
    </row>
    <row r="255" spans="1:5">
      <c r="A255" s="4">
        <v>45545</v>
      </c>
      <c r="B255">
        <v>2024</v>
      </c>
      <c r="C255">
        <v>9</v>
      </c>
      <c r="D255" t="s">
        <v>165</v>
      </c>
      <c r="E255">
        <v>3</v>
      </c>
    </row>
    <row r="256" spans="1:5">
      <c r="A256" s="4">
        <v>45546</v>
      </c>
      <c r="B256">
        <v>2024</v>
      </c>
      <c r="C256">
        <v>9</v>
      </c>
      <c r="D256" t="s">
        <v>165</v>
      </c>
      <c r="E256">
        <v>3</v>
      </c>
    </row>
    <row r="257" spans="1:5">
      <c r="A257" s="4">
        <v>45547</v>
      </c>
      <c r="B257">
        <v>2024</v>
      </c>
      <c r="C257">
        <v>9</v>
      </c>
      <c r="D257" t="s">
        <v>165</v>
      </c>
      <c r="E257">
        <v>3</v>
      </c>
    </row>
    <row r="258" spans="1:5">
      <c r="A258" s="4">
        <v>45548</v>
      </c>
      <c r="B258">
        <v>2024</v>
      </c>
      <c r="C258">
        <v>9</v>
      </c>
      <c r="D258" t="s">
        <v>165</v>
      </c>
      <c r="E258">
        <v>3</v>
      </c>
    </row>
    <row r="259" spans="1:5">
      <c r="A259" s="4">
        <v>45549</v>
      </c>
      <c r="B259">
        <v>2024</v>
      </c>
      <c r="C259">
        <v>9</v>
      </c>
      <c r="D259" t="s">
        <v>165</v>
      </c>
      <c r="E259">
        <v>3</v>
      </c>
    </row>
    <row r="260" spans="1:5">
      <c r="A260" s="4">
        <v>45550</v>
      </c>
      <c r="B260">
        <v>2024</v>
      </c>
      <c r="C260">
        <v>9</v>
      </c>
      <c r="D260" t="s">
        <v>165</v>
      </c>
      <c r="E260">
        <v>3</v>
      </c>
    </row>
    <row r="261" spans="1:5">
      <c r="A261" s="4">
        <v>45551</v>
      </c>
      <c r="B261">
        <v>2024</v>
      </c>
      <c r="C261">
        <v>9</v>
      </c>
      <c r="D261" t="s">
        <v>165</v>
      </c>
      <c r="E261">
        <v>3</v>
      </c>
    </row>
    <row r="262" spans="1:5">
      <c r="A262" s="4">
        <v>45552</v>
      </c>
      <c r="B262">
        <v>2024</v>
      </c>
      <c r="C262">
        <v>9</v>
      </c>
      <c r="D262" t="s">
        <v>165</v>
      </c>
      <c r="E262">
        <v>3</v>
      </c>
    </row>
    <row r="263" spans="1:5">
      <c r="A263" s="4">
        <v>45553</v>
      </c>
      <c r="B263">
        <v>2024</v>
      </c>
      <c r="C263">
        <v>9</v>
      </c>
      <c r="D263" t="s">
        <v>165</v>
      </c>
      <c r="E263">
        <v>3</v>
      </c>
    </row>
    <row r="264" spans="1:5">
      <c r="A264" s="4">
        <v>45554</v>
      </c>
      <c r="B264">
        <v>2024</v>
      </c>
      <c r="C264">
        <v>9</v>
      </c>
      <c r="D264" t="s">
        <v>165</v>
      </c>
      <c r="E264">
        <v>3</v>
      </c>
    </row>
    <row r="265" spans="1:5">
      <c r="A265" s="4">
        <v>45555</v>
      </c>
      <c r="B265">
        <v>2024</v>
      </c>
      <c r="C265">
        <v>9</v>
      </c>
      <c r="D265" t="s">
        <v>165</v>
      </c>
      <c r="E265">
        <v>3</v>
      </c>
    </row>
    <row r="266" spans="1:5">
      <c r="A266" s="4">
        <v>45556</v>
      </c>
      <c r="B266">
        <v>2024</v>
      </c>
      <c r="C266">
        <v>9</v>
      </c>
      <c r="D266" t="s">
        <v>165</v>
      </c>
      <c r="E266">
        <v>3</v>
      </c>
    </row>
    <row r="267" spans="1:5">
      <c r="A267" s="4">
        <v>45557</v>
      </c>
      <c r="B267">
        <v>2024</v>
      </c>
      <c r="C267">
        <v>9</v>
      </c>
      <c r="D267" t="s">
        <v>165</v>
      </c>
      <c r="E267">
        <v>3</v>
      </c>
    </row>
    <row r="268" spans="1:5">
      <c r="A268" s="4">
        <v>45558</v>
      </c>
      <c r="B268">
        <v>2024</v>
      </c>
      <c r="C268">
        <v>9</v>
      </c>
      <c r="D268" t="s">
        <v>165</v>
      </c>
      <c r="E268">
        <v>3</v>
      </c>
    </row>
    <row r="269" spans="1:5">
      <c r="A269" s="4">
        <v>45559</v>
      </c>
      <c r="B269">
        <v>2024</v>
      </c>
      <c r="C269">
        <v>9</v>
      </c>
      <c r="D269" t="s">
        <v>165</v>
      </c>
      <c r="E269">
        <v>3</v>
      </c>
    </row>
    <row r="270" spans="1:5">
      <c r="A270" s="4">
        <v>45560</v>
      </c>
      <c r="B270">
        <v>2024</v>
      </c>
      <c r="C270">
        <v>9</v>
      </c>
      <c r="D270" t="s">
        <v>165</v>
      </c>
      <c r="E270">
        <v>3</v>
      </c>
    </row>
    <row r="271" spans="1:5">
      <c r="A271" s="4">
        <v>45561</v>
      </c>
      <c r="B271">
        <v>2024</v>
      </c>
      <c r="C271">
        <v>9</v>
      </c>
      <c r="D271" t="s">
        <v>165</v>
      </c>
      <c r="E271">
        <v>3</v>
      </c>
    </row>
    <row r="272" spans="1:5">
      <c r="A272" s="4">
        <v>45562</v>
      </c>
      <c r="B272">
        <v>2024</v>
      </c>
      <c r="C272">
        <v>9</v>
      </c>
      <c r="D272" t="s">
        <v>165</v>
      </c>
      <c r="E272">
        <v>3</v>
      </c>
    </row>
    <row r="273" spans="1:5">
      <c r="A273" s="4">
        <v>45563</v>
      </c>
      <c r="B273">
        <v>2024</v>
      </c>
      <c r="C273">
        <v>9</v>
      </c>
      <c r="D273" t="s">
        <v>165</v>
      </c>
      <c r="E273">
        <v>3</v>
      </c>
    </row>
    <row r="274" spans="1:5">
      <c r="A274" s="4">
        <v>45564</v>
      </c>
      <c r="B274">
        <v>2024</v>
      </c>
      <c r="C274">
        <v>9</v>
      </c>
      <c r="D274" t="s">
        <v>165</v>
      </c>
      <c r="E274">
        <v>3</v>
      </c>
    </row>
    <row r="275" spans="1:5">
      <c r="A275" s="4">
        <v>45565</v>
      </c>
      <c r="B275">
        <v>2024</v>
      </c>
      <c r="C275">
        <v>9</v>
      </c>
      <c r="D275" t="s">
        <v>165</v>
      </c>
      <c r="E275">
        <v>3</v>
      </c>
    </row>
    <row r="276" spans="1:5">
      <c r="A276" s="4">
        <v>45566</v>
      </c>
      <c r="B276">
        <v>2024</v>
      </c>
      <c r="C276">
        <v>10</v>
      </c>
      <c r="D276" t="s">
        <v>166</v>
      </c>
      <c r="E276">
        <v>4</v>
      </c>
    </row>
    <row r="277" spans="1:5">
      <c r="A277" s="4">
        <v>45567</v>
      </c>
      <c r="B277">
        <v>2024</v>
      </c>
      <c r="C277">
        <v>10</v>
      </c>
      <c r="D277" t="s">
        <v>166</v>
      </c>
      <c r="E277">
        <v>4</v>
      </c>
    </row>
    <row r="278" spans="1:5">
      <c r="A278" s="4">
        <v>45568</v>
      </c>
      <c r="B278">
        <v>2024</v>
      </c>
      <c r="C278">
        <v>10</v>
      </c>
      <c r="D278" t="s">
        <v>166</v>
      </c>
      <c r="E278">
        <v>4</v>
      </c>
    </row>
    <row r="279" spans="1:5">
      <c r="A279" s="4">
        <v>45569</v>
      </c>
      <c r="B279">
        <v>2024</v>
      </c>
      <c r="C279">
        <v>10</v>
      </c>
      <c r="D279" t="s">
        <v>166</v>
      </c>
      <c r="E279">
        <v>4</v>
      </c>
    </row>
    <row r="280" spans="1:5">
      <c r="A280" s="4">
        <v>45570</v>
      </c>
      <c r="B280">
        <v>2024</v>
      </c>
      <c r="C280">
        <v>10</v>
      </c>
      <c r="D280" t="s">
        <v>166</v>
      </c>
      <c r="E280">
        <v>4</v>
      </c>
    </row>
    <row r="281" spans="1:5">
      <c r="A281" s="4">
        <v>45571</v>
      </c>
      <c r="B281">
        <v>2024</v>
      </c>
      <c r="C281">
        <v>10</v>
      </c>
      <c r="D281" t="s">
        <v>166</v>
      </c>
      <c r="E281">
        <v>4</v>
      </c>
    </row>
    <row r="282" spans="1:5">
      <c r="A282" s="4">
        <v>45572</v>
      </c>
      <c r="B282">
        <v>2024</v>
      </c>
      <c r="C282">
        <v>10</v>
      </c>
      <c r="D282" t="s">
        <v>166</v>
      </c>
      <c r="E282">
        <v>4</v>
      </c>
    </row>
    <row r="283" spans="1:5">
      <c r="A283" s="4">
        <v>45573</v>
      </c>
      <c r="B283">
        <v>2024</v>
      </c>
      <c r="C283">
        <v>10</v>
      </c>
      <c r="D283" t="s">
        <v>166</v>
      </c>
      <c r="E283">
        <v>4</v>
      </c>
    </row>
    <row r="284" spans="1:5">
      <c r="A284" s="4">
        <v>45574</v>
      </c>
      <c r="B284">
        <v>2024</v>
      </c>
      <c r="C284">
        <v>10</v>
      </c>
      <c r="D284" t="s">
        <v>166</v>
      </c>
      <c r="E284">
        <v>4</v>
      </c>
    </row>
    <row r="285" spans="1:5">
      <c r="A285" s="4">
        <v>45575</v>
      </c>
      <c r="B285">
        <v>2024</v>
      </c>
      <c r="C285">
        <v>10</v>
      </c>
      <c r="D285" t="s">
        <v>166</v>
      </c>
      <c r="E285">
        <v>4</v>
      </c>
    </row>
    <row r="286" spans="1:5">
      <c r="A286" s="4">
        <v>45576</v>
      </c>
      <c r="B286">
        <v>2024</v>
      </c>
      <c r="C286">
        <v>10</v>
      </c>
      <c r="D286" t="s">
        <v>166</v>
      </c>
      <c r="E286">
        <v>4</v>
      </c>
    </row>
    <row r="287" spans="1:5">
      <c r="A287" s="4">
        <v>45577</v>
      </c>
      <c r="B287">
        <v>2024</v>
      </c>
      <c r="C287">
        <v>10</v>
      </c>
      <c r="D287" t="s">
        <v>166</v>
      </c>
      <c r="E287">
        <v>4</v>
      </c>
    </row>
    <row r="288" spans="1:5">
      <c r="A288" s="4">
        <v>45578</v>
      </c>
      <c r="B288">
        <v>2024</v>
      </c>
      <c r="C288">
        <v>10</v>
      </c>
      <c r="D288" t="s">
        <v>166</v>
      </c>
      <c r="E288">
        <v>4</v>
      </c>
    </row>
    <row r="289" spans="1:5">
      <c r="A289" s="4">
        <v>45579</v>
      </c>
      <c r="B289">
        <v>2024</v>
      </c>
      <c r="C289">
        <v>10</v>
      </c>
      <c r="D289" t="s">
        <v>166</v>
      </c>
      <c r="E289">
        <v>4</v>
      </c>
    </row>
    <row r="290" spans="1:5">
      <c r="A290" s="4">
        <v>45580</v>
      </c>
      <c r="B290">
        <v>2024</v>
      </c>
      <c r="C290">
        <v>10</v>
      </c>
      <c r="D290" t="s">
        <v>166</v>
      </c>
      <c r="E290">
        <v>4</v>
      </c>
    </row>
    <row r="291" spans="1:5">
      <c r="A291" s="4">
        <v>45581</v>
      </c>
      <c r="B291">
        <v>2024</v>
      </c>
      <c r="C291">
        <v>10</v>
      </c>
      <c r="D291" t="s">
        <v>166</v>
      </c>
      <c r="E291">
        <v>4</v>
      </c>
    </row>
    <row r="292" spans="1:5">
      <c r="A292" s="4">
        <v>45582</v>
      </c>
      <c r="B292">
        <v>2024</v>
      </c>
      <c r="C292">
        <v>10</v>
      </c>
      <c r="D292" t="s">
        <v>166</v>
      </c>
      <c r="E292">
        <v>4</v>
      </c>
    </row>
    <row r="293" spans="1:5">
      <c r="A293" s="4">
        <v>45583</v>
      </c>
      <c r="B293">
        <v>2024</v>
      </c>
      <c r="C293">
        <v>10</v>
      </c>
      <c r="D293" t="s">
        <v>166</v>
      </c>
      <c r="E293">
        <v>4</v>
      </c>
    </row>
    <row r="294" spans="1:5">
      <c r="A294" s="4">
        <v>45584</v>
      </c>
      <c r="B294">
        <v>2024</v>
      </c>
      <c r="C294">
        <v>10</v>
      </c>
      <c r="D294" t="s">
        <v>166</v>
      </c>
      <c r="E294">
        <v>4</v>
      </c>
    </row>
    <row r="295" spans="1:5">
      <c r="A295" s="4">
        <v>45585</v>
      </c>
      <c r="B295">
        <v>2024</v>
      </c>
      <c r="C295">
        <v>10</v>
      </c>
      <c r="D295" t="s">
        <v>166</v>
      </c>
      <c r="E295">
        <v>4</v>
      </c>
    </row>
    <row r="296" spans="1:5">
      <c r="A296" s="4">
        <v>45586</v>
      </c>
      <c r="B296">
        <v>2024</v>
      </c>
      <c r="C296">
        <v>10</v>
      </c>
      <c r="D296" t="s">
        <v>166</v>
      </c>
      <c r="E296">
        <v>4</v>
      </c>
    </row>
    <row r="297" spans="1:5">
      <c r="A297" s="4">
        <v>45587</v>
      </c>
      <c r="B297">
        <v>2024</v>
      </c>
      <c r="C297">
        <v>10</v>
      </c>
      <c r="D297" t="s">
        <v>166</v>
      </c>
      <c r="E297">
        <v>4</v>
      </c>
    </row>
    <row r="298" spans="1:5">
      <c r="A298" s="4">
        <v>45588</v>
      </c>
      <c r="B298">
        <v>2024</v>
      </c>
      <c r="C298">
        <v>10</v>
      </c>
      <c r="D298" t="s">
        <v>166</v>
      </c>
      <c r="E298">
        <v>4</v>
      </c>
    </row>
    <row r="299" spans="1:5">
      <c r="A299" s="4">
        <v>45589</v>
      </c>
      <c r="B299">
        <v>2024</v>
      </c>
      <c r="C299">
        <v>10</v>
      </c>
      <c r="D299" t="s">
        <v>166</v>
      </c>
      <c r="E299">
        <v>4</v>
      </c>
    </row>
    <row r="300" spans="1:5">
      <c r="A300" s="4">
        <v>45590</v>
      </c>
      <c r="B300">
        <v>2024</v>
      </c>
      <c r="C300">
        <v>10</v>
      </c>
      <c r="D300" t="s">
        <v>166</v>
      </c>
      <c r="E300">
        <v>4</v>
      </c>
    </row>
    <row r="301" spans="1:5">
      <c r="A301" s="4">
        <v>45591</v>
      </c>
      <c r="B301">
        <v>2024</v>
      </c>
      <c r="C301">
        <v>10</v>
      </c>
      <c r="D301" t="s">
        <v>166</v>
      </c>
      <c r="E301">
        <v>4</v>
      </c>
    </row>
    <row r="302" spans="1:5">
      <c r="A302" s="4">
        <v>45592</v>
      </c>
      <c r="B302">
        <v>2024</v>
      </c>
      <c r="C302">
        <v>10</v>
      </c>
      <c r="D302" t="s">
        <v>166</v>
      </c>
      <c r="E302">
        <v>4</v>
      </c>
    </row>
    <row r="303" spans="1:5">
      <c r="A303" s="4">
        <v>45593</v>
      </c>
      <c r="B303">
        <v>2024</v>
      </c>
      <c r="C303">
        <v>10</v>
      </c>
      <c r="D303" t="s">
        <v>166</v>
      </c>
      <c r="E303">
        <v>4</v>
      </c>
    </row>
    <row r="304" spans="1:5">
      <c r="A304" s="4">
        <v>45594</v>
      </c>
      <c r="B304">
        <v>2024</v>
      </c>
      <c r="C304">
        <v>10</v>
      </c>
      <c r="D304" t="s">
        <v>166</v>
      </c>
      <c r="E304">
        <v>4</v>
      </c>
    </row>
    <row r="305" spans="1:5">
      <c r="A305" s="4">
        <v>45595</v>
      </c>
      <c r="B305">
        <v>2024</v>
      </c>
      <c r="C305">
        <v>10</v>
      </c>
      <c r="D305" t="s">
        <v>166</v>
      </c>
      <c r="E305">
        <v>4</v>
      </c>
    </row>
    <row r="306" spans="1:5">
      <c r="A306" s="4">
        <v>45596</v>
      </c>
      <c r="B306">
        <v>2024</v>
      </c>
      <c r="C306">
        <v>10</v>
      </c>
      <c r="D306" t="s">
        <v>166</v>
      </c>
      <c r="E306">
        <v>4</v>
      </c>
    </row>
    <row r="307" spans="1:5">
      <c r="A307" s="4">
        <v>45597</v>
      </c>
      <c r="B307">
        <v>2024</v>
      </c>
      <c r="C307">
        <v>11</v>
      </c>
      <c r="D307" t="s">
        <v>167</v>
      </c>
      <c r="E307">
        <v>4</v>
      </c>
    </row>
    <row r="308" spans="1:5">
      <c r="A308" s="4">
        <v>45598</v>
      </c>
      <c r="B308">
        <v>2024</v>
      </c>
      <c r="C308">
        <v>11</v>
      </c>
      <c r="D308" t="s">
        <v>167</v>
      </c>
      <c r="E308">
        <v>4</v>
      </c>
    </row>
    <row r="309" spans="1:5">
      <c r="A309" s="4">
        <v>45599</v>
      </c>
      <c r="B309">
        <v>2024</v>
      </c>
      <c r="C309">
        <v>11</v>
      </c>
      <c r="D309" t="s">
        <v>167</v>
      </c>
      <c r="E309">
        <v>4</v>
      </c>
    </row>
    <row r="310" spans="1:5">
      <c r="A310" s="4">
        <v>45600</v>
      </c>
      <c r="B310">
        <v>2024</v>
      </c>
      <c r="C310">
        <v>11</v>
      </c>
      <c r="D310" t="s">
        <v>167</v>
      </c>
      <c r="E310">
        <v>4</v>
      </c>
    </row>
    <row r="311" spans="1:5">
      <c r="A311" s="4">
        <v>45601</v>
      </c>
      <c r="B311">
        <v>2024</v>
      </c>
      <c r="C311">
        <v>11</v>
      </c>
      <c r="D311" t="s">
        <v>167</v>
      </c>
      <c r="E311">
        <v>4</v>
      </c>
    </row>
    <row r="312" spans="1:5">
      <c r="A312" s="4">
        <v>45602</v>
      </c>
      <c r="B312">
        <v>2024</v>
      </c>
      <c r="C312">
        <v>11</v>
      </c>
      <c r="D312" t="s">
        <v>167</v>
      </c>
      <c r="E312">
        <v>4</v>
      </c>
    </row>
    <row r="313" spans="1:5">
      <c r="A313" s="4">
        <v>45603</v>
      </c>
      <c r="B313">
        <v>2024</v>
      </c>
      <c r="C313">
        <v>11</v>
      </c>
      <c r="D313" t="s">
        <v>167</v>
      </c>
      <c r="E313">
        <v>4</v>
      </c>
    </row>
    <row r="314" spans="1:5">
      <c r="A314" s="4">
        <v>45604</v>
      </c>
      <c r="B314">
        <v>2024</v>
      </c>
      <c r="C314">
        <v>11</v>
      </c>
      <c r="D314" t="s">
        <v>167</v>
      </c>
      <c r="E314">
        <v>4</v>
      </c>
    </row>
    <row r="315" spans="1:5">
      <c r="A315" s="4">
        <v>45605</v>
      </c>
      <c r="B315">
        <v>2024</v>
      </c>
      <c r="C315">
        <v>11</v>
      </c>
      <c r="D315" t="s">
        <v>167</v>
      </c>
      <c r="E315">
        <v>4</v>
      </c>
    </row>
    <row r="316" spans="1:5">
      <c r="A316" s="4">
        <v>45606</v>
      </c>
      <c r="B316">
        <v>2024</v>
      </c>
      <c r="C316">
        <v>11</v>
      </c>
      <c r="D316" t="s">
        <v>167</v>
      </c>
      <c r="E316">
        <v>4</v>
      </c>
    </row>
    <row r="317" spans="1:5">
      <c r="A317" s="4">
        <v>45607</v>
      </c>
      <c r="B317">
        <v>2024</v>
      </c>
      <c r="C317">
        <v>11</v>
      </c>
      <c r="D317" t="s">
        <v>167</v>
      </c>
      <c r="E317">
        <v>4</v>
      </c>
    </row>
    <row r="318" spans="1:5">
      <c r="A318" s="4">
        <v>45608</v>
      </c>
      <c r="B318">
        <v>2024</v>
      </c>
      <c r="C318">
        <v>11</v>
      </c>
      <c r="D318" t="s">
        <v>167</v>
      </c>
      <c r="E318">
        <v>4</v>
      </c>
    </row>
    <row r="319" spans="1:5">
      <c r="A319" s="4">
        <v>45609</v>
      </c>
      <c r="B319">
        <v>2024</v>
      </c>
      <c r="C319">
        <v>11</v>
      </c>
      <c r="D319" t="s">
        <v>167</v>
      </c>
      <c r="E319">
        <v>4</v>
      </c>
    </row>
    <row r="320" spans="1:5">
      <c r="A320" s="4">
        <v>45610</v>
      </c>
      <c r="B320">
        <v>2024</v>
      </c>
      <c r="C320">
        <v>11</v>
      </c>
      <c r="D320" t="s">
        <v>167</v>
      </c>
      <c r="E320">
        <v>4</v>
      </c>
    </row>
    <row r="321" spans="1:5">
      <c r="A321" s="4">
        <v>45611</v>
      </c>
      <c r="B321">
        <v>2024</v>
      </c>
      <c r="C321">
        <v>11</v>
      </c>
      <c r="D321" t="s">
        <v>167</v>
      </c>
      <c r="E321">
        <v>4</v>
      </c>
    </row>
    <row r="322" spans="1:5">
      <c r="A322" s="4">
        <v>45612</v>
      </c>
      <c r="B322">
        <v>2024</v>
      </c>
      <c r="C322">
        <v>11</v>
      </c>
      <c r="D322" t="s">
        <v>167</v>
      </c>
      <c r="E322">
        <v>4</v>
      </c>
    </row>
    <row r="323" spans="1:5">
      <c r="A323" s="4">
        <v>45613</v>
      </c>
      <c r="B323">
        <v>2024</v>
      </c>
      <c r="C323">
        <v>11</v>
      </c>
      <c r="D323" t="s">
        <v>167</v>
      </c>
      <c r="E323">
        <v>4</v>
      </c>
    </row>
    <row r="324" spans="1:5">
      <c r="A324" s="4">
        <v>45614</v>
      </c>
      <c r="B324">
        <v>2024</v>
      </c>
      <c r="C324">
        <v>11</v>
      </c>
      <c r="D324" t="s">
        <v>167</v>
      </c>
      <c r="E324">
        <v>4</v>
      </c>
    </row>
    <row r="325" spans="1:5">
      <c r="A325" s="4">
        <v>45615</v>
      </c>
      <c r="B325">
        <v>2024</v>
      </c>
      <c r="C325">
        <v>11</v>
      </c>
      <c r="D325" t="s">
        <v>167</v>
      </c>
      <c r="E325">
        <v>4</v>
      </c>
    </row>
    <row r="326" spans="1:5">
      <c r="A326" s="4">
        <v>45616</v>
      </c>
      <c r="B326">
        <v>2024</v>
      </c>
      <c r="C326">
        <v>11</v>
      </c>
      <c r="D326" t="s">
        <v>167</v>
      </c>
      <c r="E326">
        <v>4</v>
      </c>
    </row>
    <row r="327" spans="1:5">
      <c r="A327" s="4">
        <v>45617</v>
      </c>
      <c r="B327">
        <v>2024</v>
      </c>
      <c r="C327">
        <v>11</v>
      </c>
      <c r="D327" t="s">
        <v>167</v>
      </c>
      <c r="E327">
        <v>4</v>
      </c>
    </row>
    <row r="328" spans="1:5">
      <c r="A328" s="4">
        <v>45618</v>
      </c>
      <c r="B328">
        <v>2024</v>
      </c>
      <c r="C328">
        <v>11</v>
      </c>
      <c r="D328" t="s">
        <v>167</v>
      </c>
      <c r="E328">
        <v>4</v>
      </c>
    </row>
    <row r="329" spans="1:5">
      <c r="A329" s="4">
        <v>45619</v>
      </c>
      <c r="B329">
        <v>2024</v>
      </c>
      <c r="C329">
        <v>11</v>
      </c>
      <c r="D329" t="s">
        <v>167</v>
      </c>
      <c r="E329">
        <v>4</v>
      </c>
    </row>
    <row r="330" spans="1:5">
      <c r="A330" s="4">
        <v>45620</v>
      </c>
      <c r="B330">
        <v>2024</v>
      </c>
      <c r="C330">
        <v>11</v>
      </c>
      <c r="D330" t="s">
        <v>167</v>
      </c>
      <c r="E330">
        <v>4</v>
      </c>
    </row>
    <row r="331" spans="1:5">
      <c r="A331" s="4">
        <v>45621</v>
      </c>
      <c r="B331">
        <v>2024</v>
      </c>
      <c r="C331">
        <v>11</v>
      </c>
      <c r="D331" t="s">
        <v>167</v>
      </c>
      <c r="E331">
        <v>4</v>
      </c>
    </row>
    <row r="332" spans="1:5">
      <c r="A332" s="4">
        <v>45622</v>
      </c>
      <c r="B332">
        <v>2024</v>
      </c>
      <c r="C332">
        <v>11</v>
      </c>
      <c r="D332" t="s">
        <v>167</v>
      </c>
      <c r="E332">
        <v>4</v>
      </c>
    </row>
    <row r="333" spans="1:5">
      <c r="A333" s="4">
        <v>45623</v>
      </c>
      <c r="B333">
        <v>2024</v>
      </c>
      <c r="C333">
        <v>11</v>
      </c>
      <c r="D333" t="s">
        <v>167</v>
      </c>
      <c r="E333">
        <v>4</v>
      </c>
    </row>
    <row r="334" spans="1:5">
      <c r="A334" s="4">
        <v>45624</v>
      </c>
      <c r="B334">
        <v>2024</v>
      </c>
      <c r="C334">
        <v>11</v>
      </c>
      <c r="D334" t="s">
        <v>167</v>
      </c>
      <c r="E334">
        <v>4</v>
      </c>
    </row>
    <row r="335" spans="1:5">
      <c r="A335" s="4">
        <v>45625</v>
      </c>
      <c r="B335">
        <v>2024</v>
      </c>
      <c r="C335">
        <v>11</v>
      </c>
      <c r="D335" t="s">
        <v>167</v>
      </c>
      <c r="E335">
        <v>4</v>
      </c>
    </row>
    <row r="336" spans="1:5">
      <c r="A336" s="4">
        <v>45626</v>
      </c>
      <c r="B336">
        <v>2024</v>
      </c>
      <c r="C336">
        <v>11</v>
      </c>
      <c r="D336" t="s">
        <v>167</v>
      </c>
      <c r="E336">
        <v>4</v>
      </c>
    </row>
    <row r="337" spans="1:5">
      <c r="A337" s="4">
        <v>45627</v>
      </c>
      <c r="B337">
        <v>2024</v>
      </c>
      <c r="C337">
        <v>12</v>
      </c>
      <c r="D337" t="s">
        <v>168</v>
      </c>
      <c r="E337">
        <v>4</v>
      </c>
    </row>
    <row r="338" spans="1:5">
      <c r="A338" s="4">
        <v>45628</v>
      </c>
      <c r="B338">
        <v>2024</v>
      </c>
      <c r="C338">
        <v>12</v>
      </c>
      <c r="D338" t="s">
        <v>168</v>
      </c>
      <c r="E338">
        <v>4</v>
      </c>
    </row>
    <row r="339" spans="1:5">
      <c r="A339" s="4">
        <v>45629</v>
      </c>
      <c r="B339">
        <v>2024</v>
      </c>
      <c r="C339">
        <v>12</v>
      </c>
      <c r="D339" t="s">
        <v>168</v>
      </c>
      <c r="E339">
        <v>4</v>
      </c>
    </row>
    <row r="340" spans="1:5">
      <c r="A340" s="4">
        <v>45630</v>
      </c>
      <c r="B340">
        <v>2024</v>
      </c>
      <c r="C340">
        <v>12</v>
      </c>
      <c r="D340" t="s">
        <v>168</v>
      </c>
      <c r="E340">
        <v>4</v>
      </c>
    </row>
    <row r="341" spans="1:5">
      <c r="A341" s="4">
        <v>45631</v>
      </c>
      <c r="B341">
        <v>2024</v>
      </c>
      <c r="C341">
        <v>12</v>
      </c>
      <c r="D341" t="s">
        <v>168</v>
      </c>
      <c r="E341">
        <v>4</v>
      </c>
    </row>
    <row r="342" spans="1:5">
      <c r="A342" s="4">
        <v>45632</v>
      </c>
      <c r="B342">
        <v>2024</v>
      </c>
      <c r="C342">
        <v>12</v>
      </c>
      <c r="D342" t="s">
        <v>168</v>
      </c>
      <c r="E342">
        <v>4</v>
      </c>
    </row>
    <row r="343" spans="1:5">
      <c r="A343" s="4">
        <v>45633</v>
      </c>
      <c r="B343">
        <v>2024</v>
      </c>
      <c r="C343">
        <v>12</v>
      </c>
      <c r="D343" t="s">
        <v>168</v>
      </c>
      <c r="E343">
        <v>4</v>
      </c>
    </row>
    <row r="344" spans="1:5">
      <c r="A344" s="4">
        <v>45634</v>
      </c>
      <c r="B344">
        <v>2024</v>
      </c>
      <c r="C344">
        <v>12</v>
      </c>
      <c r="D344" t="s">
        <v>168</v>
      </c>
      <c r="E344">
        <v>4</v>
      </c>
    </row>
    <row r="345" spans="1:5">
      <c r="A345" s="4">
        <v>45635</v>
      </c>
      <c r="B345">
        <v>2024</v>
      </c>
      <c r="C345">
        <v>12</v>
      </c>
      <c r="D345" t="s">
        <v>168</v>
      </c>
      <c r="E345">
        <v>4</v>
      </c>
    </row>
    <row r="346" spans="1:5">
      <c r="A346" s="4">
        <v>45636</v>
      </c>
      <c r="B346">
        <v>2024</v>
      </c>
      <c r="C346">
        <v>12</v>
      </c>
      <c r="D346" t="s">
        <v>168</v>
      </c>
      <c r="E346">
        <v>4</v>
      </c>
    </row>
    <row r="347" spans="1:5">
      <c r="A347" s="4">
        <v>45637</v>
      </c>
      <c r="B347">
        <v>2024</v>
      </c>
      <c r="C347">
        <v>12</v>
      </c>
      <c r="D347" t="s">
        <v>168</v>
      </c>
      <c r="E347">
        <v>4</v>
      </c>
    </row>
    <row r="348" spans="1:5">
      <c r="A348" s="4">
        <v>45638</v>
      </c>
      <c r="B348">
        <v>2024</v>
      </c>
      <c r="C348">
        <v>12</v>
      </c>
      <c r="D348" t="s">
        <v>168</v>
      </c>
      <c r="E348">
        <v>4</v>
      </c>
    </row>
    <row r="349" spans="1:5">
      <c r="A349" s="4">
        <v>45639</v>
      </c>
      <c r="B349">
        <v>2024</v>
      </c>
      <c r="C349">
        <v>12</v>
      </c>
      <c r="D349" t="s">
        <v>168</v>
      </c>
      <c r="E349">
        <v>4</v>
      </c>
    </row>
    <row r="350" spans="1:5">
      <c r="A350" s="4">
        <v>45640</v>
      </c>
      <c r="B350">
        <v>2024</v>
      </c>
      <c r="C350">
        <v>12</v>
      </c>
      <c r="D350" t="s">
        <v>168</v>
      </c>
      <c r="E350">
        <v>4</v>
      </c>
    </row>
    <row r="351" spans="1:5">
      <c r="A351" s="4">
        <v>45641</v>
      </c>
      <c r="B351">
        <v>2024</v>
      </c>
      <c r="C351">
        <v>12</v>
      </c>
      <c r="D351" t="s">
        <v>168</v>
      </c>
      <c r="E351">
        <v>4</v>
      </c>
    </row>
    <row r="352" spans="1:5">
      <c r="A352" s="4">
        <v>45642</v>
      </c>
      <c r="B352">
        <v>2024</v>
      </c>
      <c r="C352">
        <v>12</v>
      </c>
      <c r="D352" t="s">
        <v>168</v>
      </c>
      <c r="E352">
        <v>4</v>
      </c>
    </row>
    <row r="353" spans="1:5">
      <c r="A353" s="4">
        <v>45643</v>
      </c>
      <c r="B353">
        <v>2024</v>
      </c>
      <c r="C353">
        <v>12</v>
      </c>
      <c r="D353" t="s">
        <v>168</v>
      </c>
      <c r="E353">
        <v>4</v>
      </c>
    </row>
    <row r="354" spans="1:5">
      <c r="A354" s="4">
        <v>45644</v>
      </c>
      <c r="B354">
        <v>2024</v>
      </c>
      <c r="C354">
        <v>12</v>
      </c>
      <c r="D354" t="s">
        <v>168</v>
      </c>
      <c r="E354">
        <v>4</v>
      </c>
    </row>
    <row r="355" spans="1:5">
      <c r="A355" s="4">
        <v>45645</v>
      </c>
      <c r="B355">
        <v>2024</v>
      </c>
      <c r="C355">
        <v>12</v>
      </c>
      <c r="D355" t="s">
        <v>168</v>
      </c>
      <c r="E355">
        <v>4</v>
      </c>
    </row>
    <row r="356" spans="1:5">
      <c r="A356" s="4">
        <v>45646</v>
      </c>
      <c r="B356">
        <v>2024</v>
      </c>
      <c r="C356">
        <v>12</v>
      </c>
      <c r="D356" t="s">
        <v>168</v>
      </c>
      <c r="E356">
        <v>4</v>
      </c>
    </row>
    <row r="357" spans="1:5">
      <c r="A357" s="4">
        <v>45647</v>
      </c>
      <c r="B357">
        <v>2024</v>
      </c>
      <c r="C357">
        <v>12</v>
      </c>
      <c r="D357" t="s">
        <v>168</v>
      </c>
      <c r="E357">
        <v>4</v>
      </c>
    </row>
    <row r="358" spans="1:5">
      <c r="A358" s="4">
        <v>45648</v>
      </c>
      <c r="B358">
        <v>2024</v>
      </c>
      <c r="C358">
        <v>12</v>
      </c>
      <c r="D358" t="s">
        <v>168</v>
      </c>
      <c r="E358">
        <v>4</v>
      </c>
    </row>
    <row r="359" spans="1:5">
      <c r="A359" s="4">
        <v>45649</v>
      </c>
      <c r="B359">
        <v>2024</v>
      </c>
      <c r="C359">
        <v>12</v>
      </c>
      <c r="D359" t="s">
        <v>168</v>
      </c>
      <c r="E359">
        <v>4</v>
      </c>
    </row>
    <row r="360" spans="1:5">
      <c r="A360" s="4">
        <v>45650</v>
      </c>
      <c r="B360">
        <v>2024</v>
      </c>
      <c r="C360">
        <v>12</v>
      </c>
      <c r="D360" t="s">
        <v>168</v>
      </c>
      <c r="E360">
        <v>4</v>
      </c>
    </row>
    <row r="361" spans="1:5">
      <c r="A361" s="4">
        <v>45651</v>
      </c>
      <c r="B361">
        <v>2024</v>
      </c>
      <c r="C361">
        <v>12</v>
      </c>
      <c r="D361" t="s">
        <v>168</v>
      </c>
      <c r="E361">
        <v>4</v>
      </c>
    </row>
    <row r="362" spans="1:5">
      <c r="A362" s="4">
        <v>45652</v>
      </c>
      <c r="B362">
        <v>2024</v>
      </c>
      <c r="C362">
        <v>12</v>
      </c>
      <c r="D362" t="s">
        <v>168</v>
      </c>
      <c r="E362">
        <v>4</v>
      </c>
    </row>
    <row r="363" spans="1:5">
      <c r="A363" s="4">
        <v>45653</v>
      </c>
      <c r="B363">
        <v>2024</v>
      </c>
      <c r="C363">
        <v>12</v>
      </c>
      <c r="D363" t="s">
        <v>168</v>
      </c>
      <c r="E363">
        <v>4</v>
      </c>
    </row>
    <row r="364" spans="1:5">
      <c r="A364" s="4">
        <v>45654</v>
      </c>
      <c r="B364">
        <v>2024</v>
      </c>
      <c r="C364">
        <v>12</v>
      </c>
      <c r="D364" t="s">
        <v>168</v>
      </c>
      <c r="E364">
        <v>4</v>
      </c>
    </row>
    <row r="365" spans="1:5">
      <c r="A365" s="4">
        <v>45655</v>
      </c>
      <c r="B365">
        <v>2024</v>
      </c>
      <c r="C365">
        <v>12</v>
      </c>
      <c r="D365" t="s">
        <v>168</v>
      </c>
      <c r="E365">
        <v>4</v>
      </c>
    </row>
    <row r="366" spans="1:5">
      <c r="A366" s="4">
        <v>45656</v>
      </c>
      <c r="B366">
        <v>2024</v>
      </c>
      <c r="C366">
        <v>12</v>
      </c>
      <c r="D366" t="s">
        <v>168</v>
      </c>
      <c r="E366">
        <v>4</v>
      </c>
    </row>
    <row r="367" spans="1:5">
      <c r="A367" s="4">
        <v>45657</v>
      </c>
      <c r="B367">
        <v>2024</v>
      </c>
      <c r="C367">
        <v>12</v>
      </c>
      <c r="D367" t="s">
        <v>168</v>
      </c>
      <c r="E367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3"/>
  <sheetViews>
    <sheetView workbookViewId="0"/>
  </sheetViews>
  <sheetFormatPr defaultRowHeight="14.25"/>
  <cols>
    <col min="1" max="1" width="18" customWidth="1"/>
    <col min="2" max="2" width="22" customWidth="1"/>
    <col min="3" max="3" width="65" customWidth="1"/>
  </cols>
  <sheetData>
    <row r="1" spans="1:3" ht="15">
      <c r="A1" s="3" t="s">
        <v>169</v>
      </c>
      <c r="B1" s="3" t="s">
        <v>170</v>
      </c>
      <c r="C1" s="3" t="s">
        <v>171</v>
      </c>
    </row>
    <row r="2" spans="1:3">
      <c r="A2" t="s">
        <v>172</v>
      </c>
      <c r="B2" t="s">
        <v>16</v>
      </c>
      <c r="C2" t="s">
        <v>173</v>
      </c>
    </row>
    <row r="3" spans="1:3">
      <c r="A3" t="s">
        <v>172</v>
      </c>
      <c r="B3" t="s">
        <v>17</v>
      </c>
      <c r="C3" t="s">
        <v>174</v>
      </c>
    </row>
    <row r="4" spans="1:3">
      <c r="A4" t="s">
        <v>172</v>
      </c>
      <c r="B4" t="s">
        <v>18</v>
      </c>
      <c r="C4" t="s">
        <v>175</v>
      </c>
    </row>
    <row r="5" spans="1:3">
      <c r="A5" t="s">
        <v>172</v>
      </c>
      <c r="B5" t="s">
        <v>19</v>
      </c>
      <c r="C5" t="s">
        <v>176</v>
      </c>
    </row>
    <row r="6" spans="1:3">
      <c r="A6" t="s">
        <v>172</v>
      </c>
      <c r="B6" t="s">
        <v>20</v>
      </c>
      <c r="C6" t="s">
        <v>177</v>
      </c>
    </row>
    <row r="7" spans="1:3">
      <c r="A7" t="s">
        <v>178</v>
      </c>
      <c r="B7" t="s">
        <v>73</v>
      </c>
      <c r="C7" t="s">
        <v>179</v>
      </c>
    </row>
    <row r="8" spans="1:3">
      <c r="A8" t="s">
        <v>178</v>
      </c>
      <c r="B8" t="s">
        <v>74</v>
      </c>
      <c r="C8" t="s">
        <v>180</v>
      </c>
    </row>
    <row r="9" spans="1:3">
      <c r="A9" t="s">
        <v>178</v>
      </c>
      <c r="B9" t="s">
        <v>75</v>
      </c>
      <c r="C9" t="s">
        <v>181</v>
      </c>
    </row>
    <row r="10" spans="1:3">
      <c r="A10" t="s">
        <v>178</v>
      </c>
      <c r="B10" t="s">
        <v>76</v>
      </c>
      <c r="C10" t="s">
        <v>182</v>
      </c>
    </row>
    <row r="11" spans="1:3">
      <c r="A11" t="s">
        <v>183</v>
      </c>
      <c r="B11" t="s">
        <v>93</v>
      </c>
      <c r="C11" t="s">
        <v>184</v>
      </c>
    </row>
    <row r="12" spans="1:3">
      <c r="A12" t="s">
        <v>183</v>
      </c>
      <c r="B12" t="s">
        <v>94</v>
      </c>
      <c r="C12" t="s">
        <v>185</v>
      </c>
    </row>
    <row r="13" spans="1:3">
      <c r="A13" t="s">
        <v>183</v>
      </c>
      <c r="B13" t="s">
        <v>95</v>
      </c>
      <c r="C13" t="s">
        <v>186</v>
      </c>
    </row>
    <row r="14" spans="1:3">
      <c r="A14" t="s">
        <v>183</v>
      </c>
      <c r="B14" t="s">
        <v>96</v>
      </c>
      <c r="C14" t="s">
        <v>187</v>
      </c>
    </row>
    <row r="15" spans="1:3">
      <c r="A15" t="s">
        <v>183</v>
      </c>
      <c r="B15" t="s">
        <v>97</v>
      </c>
      <c r="C15" t="s">
        <v>188</v>
      </c>
    </row>
    <row r="16" spans="1:3">
      <c r="A16" t="s">
        <v>183</v>
      </c>
      <c r="B16" t="s">
        <v>73</v>
      </c>
      <c r="C16" t="s">
        <v>189</v>
      </c>
    </row>
    <row r="17" spans="1:3">
      <c r="A17" t="s">
        <v>190</v>
      </c>
      <c r="B17" t="s">
        <v>122</v>
      </c>
      <c r="C17" t="s">
        <v>191</v>
      </c>
    </row>
    <row r="18" spans="1:3">
      <c r="A18" t="s">
        <v>190</v>
      </c>
      <c r="B18" t="s">
        <v>123</v>
      </c>
      <c r="C18" t="s">
        <v>192</v>
      </c>
    </row>
    <row r="19" spans="1:3">
      <c r="A19" t="s">
        <v>190</v>
      </c>
      <c r="B19" t="s">
        <v>16</v>
      </c>
      <c r="C19" t="s">
        <v>193</v>
      </c>
    </row>
    <row r="20" spans="1:3">
      <c r="A20" t="s">
        <v>190</v>
      </c>
      <c r="B20" t="s">
        <v>93</v>
      </c>
      <c r="C20" t="s">
        <v>194</v>
      </c>
    </row>
    <row r="21" spans="1:3">
      <c r="A21" t="s">
        <v>190</v>
      </c>
      <c r="B21" t="s">
        <v>124</v>
      </c>
      <c r="C21" t="s">
        <v>195</v>
      </c>
    </row>
    <row r="22" spans="1:3">
      <c r="A22" t="s">
        <v>190</v>
      </c>
      <c r="B22" t="s">
        <v>125</v>
      </c>
      <c r="C22" t="s">
        <v>196</v>
      </c>
    </row>
    <row r="23" spans="1:3">
      <c r="A23" t="s">
        <v>190</v>
      </c>
      <c r="B23" t="s">
        <v>126</v>
      </c>
      <c r="C23" t="s">
        <v>197</v>
      </c>
    </row>
    <row r="24" spans="1:3">
      <c r="A24" t="s">
        <v>198</v>
      </c>
      <c r="B24" t="s">
        <v>129</v>
      </c>
      <c r="C24" t="s">
        <v>199</v>
      </c>
    </row>
    <row r="25" spans="1:3">
      <c r="A25" t="s">
        <v>198</v>
      </c>
      <c r="B25" t="s">
        <v>130</v>
      </c>
      <c r="C25" t="s">
        <v>200</v>
      </c>
    </row>
    <row r="26" spans="1:3">
      <c r="A26" t="s">
        <v>198</v>
      </c>
      <c r="B26" t="s">
        <v>73</v>
      </c>
      <c r="C26" t="s">
        <v>201</v>
      </c>
    </row>
    <row r="27" spans="1:3">
      <c r="A27" t="s">
        <v>198</v>
      </c>
      <c r="B27" t="s">
        <v>93</v>
      </c>
      <c r="C27" t="s">
        <v>202</v>
      </c>
    </row>
    <row r="28" spans="1:3">
      <c r="A28" t="s">
        <v>198</v>
      </c>
      <c r="B28" t="s">
        <v>131</v>
      </c>
      <c r="C28" t="s">
        <v>203</v>
      </c>
    </row>
    <row r="29" spans="1:3">
      <c r="A29" t="s">
        <v>198</v>
      </c>
      <c r="B29" t="s">
        <v>132</v>
      </c>
      <c r="C29" t="s">
        <v>204</v>
      </c>
    </row>
    <row r="30" spans="1:3">
      <c r="A30" t="s">
        <v>205</v>
      </c>
      <c r="B30" t="s">
        <v>133</v>
      </c>
      <c r="C30" t="s">
        <v>206</v>
      </c>
    </row>
    <row r="31" spans="1:3">
      <c r="A31" t="s">
        <v>205</v>
      </c>
      <c r="B31" t="s">
        <v>134</v>
      </c>
      <c r="C31" t="s">
        <v>207</v>
      </c>
    </row>
    <row r="32" spans="1:3">
      <c r="A32" t="s">
        <v>205</v>
      </c>
      <c r="B32" t="s">
        <v>135</v>
      </c>
      <c r="C32" t="s">
        <v>208</v>
      </c>
    </row>
    <row r="33" spans="1:3">
      <c r="A33" t="s">
        <v>205</v>
      </c>
      <c r="B33" t="s">
        <v>136</v>
      </c>
      <c r="C33" t="s">
        <v>209</v>
      </c>
    </row>
    <row r="34" spans="1:3">
      <c r="A34" t="s">
        <v>210</v>
      </c>
      <c r="B34" t="s">
        <v>144</v>
      </c>
      <c r="C34" t="s">
        <v>211</v>
      </c>
    </row>
    <row r="35" spans="1:3">
      <c r="A35" t="s">
        <v>210</v>
      </c>
      <c r="B35" t="s">
        <v>16</v>
      </c>
      <c r="C35" t="s">
        <v>212</v>
      </c>
    </row>
    <row r="36" spans="1:3">
      <c r="A36" t="s">
        <v>210</v>
      </c>
      <c r="B36" t="s">
        <v>145</v>
      </c>
      <c r="C36" t="s">
        <v>213</v>
      </c>
    </row>
    <row r="37" spans="1:3">
      <c r="A37" t="s">
        <v>210</v>
      </c>
      <c r="B37" t="s">
        <v>146</v>
      </c>
      <c r="C37" t="s">
        <v>214</v>
      </c>
    </row>
    <row r="38" spans="1:3">
      <c r="A38" t="s">
        <v>210</v>
      </c>
      <c r="B38" t="s">
        <v>147</v>
      </c>
      <c r="C38" t="s">
        <v>215</v>
      </c>
    </row>
    <row r="39" spans="1:3">
      <c r="A39" t="s">
        <v>216</v>
      </c>
      <c r="B39" t="s">
        <v>152</v>
      </c>
      <c r="C39" t="s">
        <v>217</v>
      </c>
    </row>
    <row r="40" spans="1:3">
      <c r="A40" t="s">
        <v>216</v>
      </c>
      <c r="B40" t="s">
        <v>153</v>
      </c>
      <c r="C40" t="s">
        <v>218</v>
      </c>
    </row>
    <row r="41" spans="1:3">
      <c r="A41" t="s">
        <v>216</v>
      </c>
      <c r="B41" t="s">
        <v>154</v>
      </c>
      <c r="C41" t="s">
        <v>219</v>
      </c>
    </row>
    <row r="42" spans="1:3">
      <c r="A42" t="s">
        <v>216</v>
      </c>
      <c r="B42" t="s">
        <v>155</v>
      </c>
      <c r="C42" t="s">
        <v>220</v>
      </c>
    </row>
    <row r="43" spans="1:3">
      <c r="A43" t="s">
        <v>216</v>
      </c>
      <c r="B43" t="s">
        <v>156</v>
      </c>
      <c r="C43" t="s">
        <v>221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>
      <selection sqref="A1:F1"/>
    </sheetView>
  </sheetViews>
  <sheetFormatPr defaultRowHeight="14.25"/>
  <cols>
    <col min="1" max="2" width="24" customWidth="1"/>
  </cols>
  <sheetData>
    <row r="1" spans="1:6" ht="18">
      <c r="A1" s="8" t="s">
        <v>222</v>
      </c>
      <c r="B1" s="9"/>
      <c r="C1" s="9"/>
      <c r="D1" s="9"/>
      <c r="E1" s="9"/>
      <c r="F1" s="9"/>
    </row>
    <row r="3" spans="1:6" ht="15">
      <c r="A3" s="3" t="s">
        <v>223</v>
      </c>
      <c r="B3" s="3" t="s">
        <v>224</v>
      </c>
    </row>
    <row r="4" spans="1:6" ht="15">
      <c r="A4" s="1" t="s">
        <v>225</v>
      </c>
      <c r="B4">
        <f>COUNTA(customers!A2:A1000)</f>
        <v>40</v>
      </c>
    </row>
    <row r="5" spans="1:6" ht="15">
      <c r="A5" s="1" t="s">
        <v>226</v>
      </c>
      <c r="B5">
        <f>COUNTA(suppliers!A2:A1000)</f>
        <v>8</v>
      </c>
    </row>
    <row r="6" spans="1:6" ht="15">
      <c r="A6" s="1" t="s">
        <v>227</v>
      </c>
      <c r="B6">
        <f>COUNTA(products!A2:A1000)</f>
        <v>20</v>
      </c>
    </row>
    <row r="7" spans="1:6" ht="15">
      <c r="A7" s="1" t="s">
        <v>228</v>
      </c>
      <c r="B7">
        <f>COUNTA(sales!A2:A5000)</f>
        <v>350</v>
      </c>
    </row>
    <row r="8" spans="1:6" ht="15">
      <c r="A8" s="1" t="s">
        <v>229</v>
      </c>
      <c r="B8">
        <f>COUNTA(purchases!A2:A2000)</f>
        <v>110</v>
      </c>
    </row>
    <row r="9" spans="1:6" ht="15">
      <c r="A9" s="1" t="s">
        <v>230</v>
      </c>
      <c r="B9">
        <f>COUNTA(expenses!A2:A1000)</f>
        <v>84</v>
      </c>
    </row>
    <row r="10" spans="1:6" ht="15">
      <c r="A10" s="1" t="s">
        <v>231</v>
      </c>
      <c r="B10">
        <f>COUNTA(payments!A2:A3000)</f>
        <v>230</v>
      </c>
    </row>
    <row r="11" spans="1:6" ht="15">
      <c r="A11" s="1" t="s">
        <v>232</v>
      </c>
      <c r="B11">
        <f>COUNTA(calendar!A2:A1000)</f>
        <v>366</v>
      </c>
    </row>
    <row r="12" spans="1:6" ht="15">
      <c r="A12" s="1" t="s">
        <v>233</v>
      </c>
      <c r="B12" s="4">
        <f>MIN(sales!B:B)</f>
        <v>45292</v>
      </c>
    </row>
    <row r="13" spans="1:6" ht="15">
      <c r="A13" s="1" t="s">
        <v>234</v>
      </c>
      <c r="B13" s="4">
        <f>MAX(sales!B:B)</f>
        <v>45656</v>
      </c>
    </row>
    <row r="14" spans="1:6" ht="15">
      <c r="A14" s="1" t="s">
        <v>235</v>
      </c>
      <c r="B14" s="7">
        <f>SUM(sales!E:E)</f>
        <v>1254</v>
      </c>
    </row>
    <row r="15" spans="1:6" ht="15">
      <c r="A15" s="1" t="s">
        <v>236</v>
      </c>
      <c r="B15" s="7">
        <f ca="1">COUNTA(_xludf.UNIQUE(products!C2:C1000))</f>
        <v>1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defaultRowHeight="14.25"/>
  <cols>
    <col min="1" max="4" width="18" customWidth="1"/>
  </cols>
  <sheetData>
    <row r="1" spans="1:4" ht="15">
      <c r="A1" s="3" t="s">
        <v>237</v>
      </c>
      <c r="B1" s="3" t="s">
        <v>238</v>
      </c>
      <c r="C1" s="3" t="s">
        <v>239</v>
      </c>
      <c r="D1" s="3" t="s">
        <v>240</v>
      </c>
    </row>
    <row r="2" spans="1:4">
      <c r="A2" t="s">
        <v>190</v>
      </c>
      <c r="B2" t="s">
        <v>16</v>
      </c>
      <c r="C2" t="s">
        <v>172</v>
      </c>
      <c r="D2" t="s">
        <v>16</v>
      </c>
    </row>
    <row r="3" spans="1:4">
      <c r="A3" t="s">
        <v>190</v>
      </c>
      <c r="B3" t="s">
        <v>93</v>
      </c>
      <c r="C3" t="s">
        <v>183</v>
      </c>
      <c r="D3" t="s">
        <v>93</v>
      </c>
    </row>
    <row r="4" spans="1:4">
      <c r="A4" t="s">
        <v>190</v>
      </c>
      <c r="B4" t="s">
        <v>123</v>
      </c>
      <c r="C4" t="s">
        <v>216</v>
      </c>
      <c r="D4" t="s">
        <v>152</v>
      </c>
    </row>
    <row r="5" spans="1:4">
      <c r="A5" t="s">
        <v>183</v>
      </c>
      <c r="B5" t="s">
        <v>73</v>
      </c>
      <c r="C5" t="s">
        <v>178</v>
      </c>
      <c r="D5" t="s">
        <v>73</v>
      </c>
    </row>
    <row r="6" spans="1:4">
      <c r="A6" t="s">
        <v>198</v>
      </c>
      <c r="B6" t="s">
        <v>73</v>
      </c>
      <c r="C6" t="s">
        <v>178</v>
      </c>
      <c r="D6" t="s">
        <v>73</v>
      </c>
    </row>
    <row r="7" spans="1:4">
      <c r="A7" t="s">
        <v>198</v>
      </c>
      <c r="B7" t="s">
        <v>93</v>
      </c>
      <c r="C7" t="s">
        <v>183</v>
      </c>
      <c r="D7" t="s">
        <v>93</v>
      </c>
    </row>
    <row r="8" spans="1:4">
      <c r="A8" t="s">
        <v>198</v>
      </c>
      <c r="B8" t="s">
        <v>130</v>
      </c>
      <c r="C8" t="s">
        <v>216</v>
      </c>
      <c r="D8" t="s">
        <v>152</v>
      </c>
    </row>
    <row r="9" spans="1:4">
      <c r="A9" t="s">
        <v>210</v>
      </c>
      <c r="B9" t="s">
        <v>16</v>
      </c>
      <c r="C9" t="s">
        <v>172</v>
      </c>
      <c r="D9" t="s">
        <v>16</v>
      </c>
    </row>
    <row r="10" spans="1:4">
      <c r="A10" t="s">
        <v>210</v>
      </c>
      <c r="B10" t="s">
        <v>145</v>
      </c>
      <c r="C10" t="s">
        <v>216</v>
      </c>
      <c r="D10" t="s">
        <v>152</v>
      </c>
    </row>
    <row r="11" spans="1:4">
      <c r="A11" t="s">
        <v>205</v>
      </c>
      <c r="B11" t="s">
        <v>134</v>
      </c>
      <c r="C11" t="s">
        <v>216</v>
      </c>
      <c r="D11" t="s">
        <v>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12</vt:i4>
      </vt:variant>
    </vt:vector>
  </HeadingPairs>
  <TitlesOfParts>
    <vt:vector size="12" baseType="lpstr">
      <vt:lpstr>README</vt:lpstr>
      <vt:lpstr>customers</vt:lpstr>
      <vt:lpstr>suppliers</vt:lpstr>
      <vt:lpstr>products</vt:lpstr>
      <vt:lpstr>sales</vt:lpstr>
      <vt:lpstr>purchases</vt:lpstr>
      <vt:lpstr>expenses</vt:lpstr>
      <vt:lpstr>payments</vt:lpstr>
      <vt:lpstr>calendar</vt:lpstr>
      <vt:lpstr>data_dictionary</vt:lpstr>
      <vt:lpstr>summary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MyVisionUser</dc:creator>
  <cp:lastModifiedBy>sales</cp:lastModifiedBy>
  <dcterms:created xsi:type="dcterms:W3CDTF">2026-07-10T21:17:08Z</dcterms:created>
  <dcterms:modified xsi:type="dcterms:W3CDTF">2026-07-25T17:19:58Z</dcterms:modified>
</cp:coreProperties>
</file>